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etalle" sheetId="2" r:id="rId2"/>
    <sheet name="Líneas" sheetId="3" r:id="rId3"/>
    <sheet name="Ranking" sheetId="4" r:id="rId4"/>
  </sheets>
  <definedNames>
    <definedName name="_xlnm._FilterDatabase" localSheetId="1" hidden="1">Detalle!$A$1:$J$36</definedName>
    <definedName name="_xlnm._FilterDatabase" localSheetId="2" hidden="1">Líneas!$A$1:$G$42</definedName>
  </definedNames>
  <calcPr calcId="124519" fullCalcOnLoad="1"/>
</workbook>
</file>

<file path=xl/sharedStrings.xml><?xml version="1.0" encoding="utf-8"?>
<sst xmlns="http://schemas.openxmlformats.org/spreadsheetml/2006/main" count="368" uniqueCount="121">
  <si>
    <t>AutoPrime · Reporte de ventas</t>
  </si>
  <si>
    <t>Periodo: 21/06/2026 a 19/09/2026</t>
  </si>
  <si>
    <t>Generado el 19/09/2026 a las 13:01</t>
  </si>
  <si>
    <t>Todas las ventas del negocio</t>
  </si>
  <si>
    <t>Ventas</t>
  </si>
  <si>
    <t>Pagadas</t>
  </si>
  <si>
    <t>Pendientes</t>
  </si>
  <si>
    <t>Anuladas</t>
  </si>
  <si>
    <t>Ingresos</t>
  </si>
  <si>
    <t>Ticket prom.</t>
  </si>
  <si>
    <t>Frente al periodo anterior</t>
  </si>
  <si>
    <t>Concepto</t>
  </si>
  <si>
    <t>Periodo actual</t>
  </si>
  <si>
    <t>Periodo anterior</t>
  </si>
  <si>
    <t>Variación</t>
  </si>
  <si>
    <t>sin base</t>
  </si>
  <si>
    <t>Ticket promedio</t>
  </si>
  <si>
    <t>Movimiento por día</t>
  </si>
  <si>
    <t>Fecha</t>
  </si>
  <si>
    <t>Total del periodo</t>
  </si>
  <si>
    <t>Número</t>
  </si>
  <si>
    <t>Cliente</t>
  </si>
  <si>
    <t>Vendedor</t>
  </si>
  <si>
    <t>Líneas</t>
  </si>
  <si>
    <t>Estado</t>
  </si>
  <si>
    <t>Factura</t>
  </si>
  <si>
    <t>Subtotal</t>
  </si>
  <si>
    <t>IVA</t>
  </si>
  <si>
    <t>Total</t>
  </si>
  <si>
    <t>V-2026-00039</t>
  </si>
  <si>
    <t>Santiago Ocampo Vélez</t>
  </si>
  <si>
    <t>Carolina Rivera Osorio</t>
  </si>
  <si>
    <t>pagada</t>
  </si>
  <si>
    <t>F-2026-00023</t>
  </si>
  <si>
    <t>V-2026-00040</t>
  </si>
  <si>
    <t>Andrés Felipe Muñoz Ríos</t>
  </si>
  <si>
    <t>Jose Matias Agudelo Bolivar</t>
  </si>
  <si>
    <t>—</t>
  </si>
  <si>
    <t>V-2026-00041</t>
  </si>
  <si>
    <t>Andres Zapata Molina</t>
  </si>
  <si>
    <t>Web</t>
  </si>
  <si>
    <t>F-2026-00024</t>
  </si>
  <si>
    <t>V-2026-00042</t>
  </si>
  <si>
    <t>F-2026-00025</t>
  </si>
  <si>
    <t>V-2026-00043</t>
  </si>
  <si>
    <t>F-2026-00026</t>
  </si>
  <si>
    <t>V-2026-00044</t>
  </si>
  <si>
    <t>Camila Zuluaga Pérez</t>
  </si>
  <si>
    <t>anulada</t>
  </si>
  <si>
    <t>V-2026-00045</t>
  </si>
  <si>
    <t>F-2026-00027</t>
  </si>
  <si>
    <t>V-2026-00046</t>
  </si>
  <si>
    <t>V-2026-00047</t>
  </si>
  <si>
    <t>Juliana Betancur Soto</t>
  </si>
  <si>
    <t>V-2026-00049</t>
  </si>
  <si>
    <t>V-2026-00048</t>
  </si>
  <si>
    <t>Mariana Cardona Ruiz</t>
  </si>
  <si>
    <t>F-2026-00028</t>
  </si>
  <si>
    <t>V-2026-00050</t>
  </si>
  <si>
    <t>V-2026-00051</t>
  </si>
  <si>
    <t>Valentina Restrepo Gil</t>
  </si>
  <si>
    <t>F-2026-00029</t>
  </si>
  <si>
    <t>V-2026-00052</t>
  </si>
  <si>
    <t>Tomás Arango Posada</t>
  </si>
  <si>
    <t>F-2026-00030</t>
  </si>
  <si>
    <t>V-2026-00053</t>
  </si>
  <si>
    <t>Sebastián Henao Mejía</t>
  </si>
  <si>
    <t>V-2026-00054</t>
  </si>
  <si>
    <t>F-2026-00031</t>
  </si>
  <si>
    <t>V-2026-00055</t>
  </si>
  <si>
    <t>F-2026-00032</t>
  </si>
  <si>
    <t>V-2026-00056</t>
  </si>
  <si>
    <t>F-2026-00033</t>
  </si>
  <si>
    <t>V-2026-00057</t>
  </si>
  <si>
    <t>V-2026-00058</t>
  </si>
  <si>
    <t>F-2026-00034</t>
  </si>
  <si>
    <t>V-2026-00059</t>
  </si>
  <si>
    <t>F-2026-00035</t>
  </si>
  <si>
    <t>V-2026-00060</t>
  </si>
  <si>
    <t>F-2026-00036</t>
  </si>
  <si>
    <t>V-2026-00061</t>
  </si>
  <si>
    <t>pendiente</t>
  </si>
  <si>
    <t>V-2026-00063</t>
  </si>
  <si>
    <t>V-2026-00062</t>
  </si>
  <si>
    <t>F-2026-00037</t>
  </si>
  <si>
    <t>V-2026-00064</t>
  </si>
  <si>
    <t>V-2026-00066</t>
  </si>
  <si>
    <t>V-2026-00065</t>
  </si>
  <si>
    <t>V-2026-00068</t>
  </si>
  <si>
    <t>V-2026-00067</t>
  </si>
  <si>
    <t>F-2026-00038</t>
  </si>
  <si>
    <t>V-2026-00069</t>
  </si>
  <si>
    <t>F-2026-00039</t>
  </si>
  <si>
    <t>V-2026-00071</t>
  </si>
  <si>
    <t>F-2026-00040</t>
  </si>
  <si>
    <t>V-2026-00070</t>
  </si>
  <si>
    <t>V-2026-00073</t>
  </si>
  <si>
    <t>V-2026-00072</t>
  </si>
  <si>
    <t>F-2026-00041</t>
  </si>
  <si>
    <t/>
  </si>
  <si>
    <t>Venta</t>
  </si>
  <si>
    <t>Descripción</t>
  </si>
  <si>
    <t>Tipo</t>
  </si>
  <si>
    <t>Cantidad</t>
  </si>
  <si>
    <t>Precio unitario</t>
  </si>
  <si>
    <t>Descuento</t>
  </si>
  <si>
    <t>MANSORY P9LM EVO 900 (2024)</t>
  </si>
  <si>
    <t>Vehículo</t>
  </si>
  <si>
    <t>MANSORY SF90 Soft Kit (2024)</t>
  </si>
  <si>
    <t>Peritaje de 120 puntos</t>
  </si>
  <si>
    <t>Servicio</t>
  </si>
  <si>
    <t>MANSORY Elongation EVO (2025)</t>
  </si>
  <si>
    <t>MANSORY Carbonado EVO (2023)</t>
  </si>
  <si>
    <t>MANSORY Bentley GT (2025)</t>
  </si>
  <si>
    <t>MANSORY Phantom VIII (2024)</t>
  </si>
  <si>
    <t>Vehículos más vendidos</t>
  </si>
  <si>
    <t>Unidades</t>
  </si>
  <si>
    <t>Importe</t>
  </si>
  <si>
    <t>% del total</t>
  </si>
  <si>
    <t>Servicios más vendidos</t>
  </si>
  <si>
    <t>Los porcentajes son sobre el importe de cada ranking, no sobre el total del periodo.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</si>
</sst>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&quot;$&quot; #,##0"/>
    <numFmt numFmtId="166" formatCode="&quot;$&quot; #,##0.00"/>
    <numFmt numFmtId="167" formatCode="dd/mm/yyyy"/>
    <numFmt numFmtId="168" formatCode="dd/mm/yyyy hh:mm"/>
    <numFmt numFmtId="169" formatCode="0.0%"/>
  </numFmts>
  <fonts count="9">
    <font>
      <sz val="11"/>
      <color theme="1"/>
      <name val="Calibri"/>
      <family val="2"/>
      <scheme val="minor"/>
    </font>
    <font>
      <b/>
      <sz val="16"/>
      <color rgb="FF111114"/>
      <name val="Calibri"/>
      <family val="2"/>
      <scheme val="minor"/>
    </font>
    <font>
      <sz val="10"/>
      <color rgb="FF55555C"/>
      <name val="Calibri"/>
      <family val="2"/>
      <scheme val="minor"/>
    </font>
    <font>
      <b/>
      <sz val="9"/>
      <color rgb="FF3D627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3D627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8A8A9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1"/>
        <bgColor indexed="64"/>
      </patternFill>
    </fill>
    <fill>
      <patternFill patternType="solid">
        <fgColor rgb="FF3D6274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D6274"/>
      </left>
      <right style="thin">
        <color rgb="FF3D6274"/>
      </right>
      <top style="thin">
        <color rgb="FF3D6274"/>
      </top>
      <bottom style="thin">
        <color rgb="FF3D6274"/>
      </bottom>
      <diagonal/>
    </border>
    <border>
      <left style="thin">
        <color rgb="FFD5D5DB"/>
      </left>
      <right style="thin">
        <color rgb="FFD5D5DB"/>
      </right>
      <top style="thin">
        <color rgb="FFD5D5DB"/>
      </top>
      <bottom style="thin">
        <color rgb="FFD5D5DB"/>
      </bottom>
      <diagonal/>
    </border>
    <border>
      <left style="thin">
        <color rgb="FFD5D5DB"/>
      </left>
      <right style="thin">
        <color rgb="FFD5D5DB"/>
      </right>
      <top style="medium">
        <color rgb="FF3D6274"/>
      </top>
      <bottom style="thin">
        <color rgb="FFD5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5" fillId="0" borderId="0" xfId="0" applyFont="1"/>
    <xf numFmtId="0" fontId="6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164" fontId="0" fillId="0" borderId="3" xfId="0" applyNumberFormat="1" applyBorder="1"/>
    <xf numFmtId="166" fontId="0" fillId="0" borderId="3" xfId="0" applyNumberFormat="1" applyBorder="1"/>
    <xf numFmtId="167" fontId="0" fillId="0" borderId="3" xfId="0" applyNumberFormat="1" applyBorder="1"/>
    <xf numFmtId="0" fontId="7" fillId="2" borderId="4" xfId="0" applyFont="1" applyFill="1" applyBorder="1"/>
    <xf numFmtId="164" fontId="7" fillId="2" borderId="4" xfId="0" applyNumberFormat="1" applyFont="1" applyFill="1" applyBorder="1"/>
    <xf numFmtId="166" fontId="7" fillId="2" borderId="4" xfId="0" applyNumberFormat="1" applyFont="1" applyFill="1" applyBorder="1"/>
    <xf numFmtId="168" fontId="0" fillId="0" borderId="3" xfId="0" applyNumberFormat="1" applyBorder="1"/>
    <xf numFmtId="169" fontId="0" fillId="0" borderId="3" xfId="0" applyNumberFormat="1" applyBorder="1"/>
    <xf numFmtId="0" fontId="8" fillId="0" borderId="0" xfId="0" applyFont="1"/>
  </cellXfs>
  <cellStyles count="1">
    <cellStyle name="Normal" xfId="0" builtinId="0"/>
  </cellStyles>
  <dxfs count="3">
    <dxf>
      <font>
        <b/>
        <color rgb="FF0B6B3A"/>
      </font>
      <fill>
        <patternFill>
          <bgColor rgb="FFD8F3E3"/>
        </patternFill>
      </fill>
      <border>
        <left style="thin">
          <color rgb="FFD5D5DB"/>
        </left>
        <right style="thin">
          <color rgb="FFD5D5DB"/>
        </right>
        <top style="thin">
          <color rgb="FFD5D5DB"/>
        </top>
        <bottom style="thin">
          <color rgb="FFD5D5DB"/>
        </bottom>
        <vertical/>
        <horizontal/>
      </border>
    </dxf>
    <dxf>
      <font>
        <b/>
        <color rgb="FF7A5200"/>
      </font>
      <fill>
        <patternFill>
          <bgColor rgb="FFFDF0D0"/>
        </patternFill>
      </fill>
      <border>
        <left style="thin">
          <color rgb="FFD5D5DB"/>
        </left>
        <right style="thin">
          <color rgb="FFD5D5DB"/>
        </right>
        <top style="thin">
          <color rgb="FFD5D5DB"/>
        </top>
        <bottom style="thin">
          <color rgb="FFD5D5DB"/>
        </bottom>
        <vertical/>
        <horizontal/>
      </border>
    </dxf>
    <dxf>
      <font>
        <b/>
        <color rgb="FF8A1C1C"/>
      </font>
      <fill>
        <patternFill>
          <bgColor rgb="FFFADBD8"/>
        </patternFill>
      </fill>
      <border>
        <left style="thin">
          <color rgb="FFD5D5DB"/>
        </left>
        <right style="thin">
          <color rgb="FFD5D5DB"/>
        </right>
        <top style="thin">
          <color rgb="FFD5D5DB"/>
        </top>
        <bottom style="thin">
          <color rgb="FFD5D5DB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Ingresos por día · 21/06/2026 a 19/09/2026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Ingresos</c:v>
          </c:tx>
          <c:spPr>
            <a:solidFill>
              <a:srgbClr val="3D6274"/>
            </a:solidFill>
          </c:spPr>
          <c:cat>
            <c:numRef>
              <c:f>Resumen!$A$18:$A$108</c:f>
              <c:numCache>
                <c:formatCode>General</c:formatCode>
                <c:ptCount val="91"/>
                <c:pt idx="0">
                  <c:v>46194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46200</c:v>
                </c:pt>
                <c:pt idx="7">
                  <c:v>46201</c:v>
                </c:pt>
                <c:pt idx="8">
                  <c:v>46202</c:v>
                </c:pt>
                <c:pt idx="9">
                  <c:v>46203</c:v>
                </c:pt>
                <c:pt idx="10">
                  <c:v>46204</c:v>
                </c:pt>
                <c:pt idx="11">
                  <c:v>46205</c:v>
                </c:pt>
                <c:pt idx="12">
                  <c:v>46206</c:v>
                </c:pt>
                <c:pt idx="13">
                  <c:v>46207</c:v>
                </c:pt>
                <c:pt idx="14">
                  <c:v>46208</c:v>
                </c:pt>
                <c:pt idx="15">
                  <c:v>46209</c:v>
                </c:pt>
                <c:pt idx="16">
                  <c:v>46210</c:v>
                </c:pt>
                <c:pt idx="17">
                  <c:v>46211</c:v>
                </c:pt>
                <c:pt idx="18">
                  <c:v>46212</c:v>
                </c:pt>
                <c:pt idx="19">
                  <c:v>46213</c:v>
                </c:pt>
                <c:pt idx="20">
                  <c:v>46214</c:v>
                </c:pt>
                <c:pt idx="21">
                  <c:v>46215</c:v>
                </c:pt>
                <c:pt idx="22">
                  <c:v>46216</c:v>
                </c:pt>
                <c:pt idx="23">
                  <c:v>46217</c:v>
                </c:pt>
                <c:pt idx="24">
                  <c:v>46218</c:v>
                </c:pt>
                <c:pt idx="25">
                  <c:v>46219</c:v>
                </c:pt>
                <c:pt idx="26">
                  <c:v>46220</c:v>
                </c:pt>
                <c:pt idx="27">
                  <c:v>46221</c:v>
                </c:pt>
                <c:pt idx="28">
                  <c:v>46222</c:v>
                </c:pt>
                <c:pt idx="29">
                  <c:v>46223</c:v>
                </c:pt>
                <c:pt idx="30">
                  <c:v>46224</c:v>
                </c:pt>
                <c:pt idx="31">
                  <c:v>46225</c:v>
                </c:pt>
                <c:pt idx="32">
                  <c:v>46226</c:v>
                </c:pt>
                <c:pt idx="33">
                  <c:v>46227</c:v>
                </c:pt>
                <c:pt idx="34">
                  <c:v>46228</c:v>
                </c:pt>
                <c:pt idx="35">
                  <c:v>46229</c:v>
                </c:pt>
                <c:pt idx="36">
                  <c:v>46230</c:v>
                </c:pt>
                <c:pt idx="37">
                  <c:v>46231</c:v>
                </c:pt>
                <c:pt idx="38">
                  <c:v>46232</c:v>
                </c:pt>
                <c:pt idx="39">
                  <c:v>46233</c:v>
                </c:pt>
                <c:pt idx="40">
                  <c:v>46234</c:v>
                </c:pt>
                <c:pt idx="41">
                  <c:v>46235</c:v>
                </c:pt>
                <c:pt idx="42">
                  <c:v>46236</c:v>
                </c:pt>
                <c:pt idx="43">
                  <c:v>46237</c:v>
                </c:pt>
                <c:pt idx="44">
                  <c:v>46238</c:v>
                </c:pt>
                <c:pt idx="45">
                  <c:v>46239</c:v>
                </c:pt>
                <c:pt idx="46">
                  <c:v>46240</c:v>
                </c:pt>
                <c:pt idx="47">
                  <c:v>46241</c:v>
                </c:pt>
                <c:pt idx="48">
                  <c:v>46242</c:v>
                </c:pt>
                <c:pt idx="49">
                  <c:v>46243</c:v>
                </c:pt>
                <c:pt idx="50">
                  <c:v>46244</c:v>
                </c:pt>
                <c:pt idx="51">
                  <c:v>46245</c:v>
                </c:pt>
                <c:pt idx="52">
                  <c:v>46246</c:v>
                </c:pt>
                <c:pt idx="53">
                  <c:v>46247</c:v>
                </c:pt>
                <c:pt idx="54">
                  <c:v>46248</c:v>
                </c:pt>
                <c:pt idx="55">
                  <c:v>46249</c:v>
                </c:pt>
                <c:pt idx="56">
                  <c:v>46250</c:v>
                </c:pt>
                <c:pt idx="57">
                  <c:v>46251</c:v>
                </c:pt>
                <c:pt idx="58">
                  <c:v>46252</c:v>
                </c:pt>
                <c:pt idx="59">
                  <c:v>46253</c:v>
                </c:pt>
                <c:pt idx="60">
                  <c:v>46254</c:v>
                </c:pt>
                <c:pt idx="61">
                  <c:v>46255</c:v>
                </c:pt>
                <c:pt idx="62">
                  <c:v>46256</c:v>
                </c:pt>
                <c:pt idx="63">
                  <c:v>46257</c:v>
                </c:pt>
                <c:pt idx="64">
                  <c:v>46258</c:v>
                </c:pt>
                <c:pt idx="65">
                  <c:v>46259</c:v>
                </c:pt>
                <c:pt idx="66">
                  <c:v>46260</c:v>
                </c:pt>
                <c:pt idx="67">
                  <c:v>46261</c:v>
                </c:pt>
                <c:pt idx="68">
                  <c:v>46262</c:v>
                </c:pt>
                <c:pt idx="69">
                  <c:v>46263</c:v>
                </c:pt>
                <c:pt idx="70">
                  <c:v>46264</c:v>
                </c:pt>
                <c:pt idx="71">
                  <c:v>46265</c:v>
                </c:pt>
                <c:pt idx="72">
                  <c:v>46266</c:v>
                </c:pt>
                <c:pt idx="73">
                  <c:v>46267</c:v>
                </c:pt>
                <c:pt idx="74">
                  <c:v>46268</c:v>
                </c:pt>
                <c:pt idx="75">
                  <c:v>46269</c:v>
                </c:pt>
                <c:pt idx="76">
                  <c:v>46270</c:v>
                </c:pt>
                <c:pt idx="77">
                  <c:v>46271</c:v>
                </c:pt>
                <c:pt idx="78">
                  <c:v>46272</c:v>
                </c:pt>
                <c:pt idx="79">
                  <c:v>46273</c:v>
                </c:pt>
                <c:pt idx="80">
                  <c:v>46274</c:v>
                </c:pt>
                <c:pt idx="81">
                  <c:v>46275</c:v>
                </c:pt>
                <c:pt idx="82">
                  <c:v>46276</c:v>
                </c:pt>
                <c:pt idx="83">
                  <c:v>46277</c:v>
                </c:pt>
                <c:pt idx="84">
                  <c:v>46278</c:v>
                </c:pt>
                <c:pt idx="85">
                  <c:v>46279</c:v>
                </c:pt>
                <c:pt idx="86">
                  <c:v>46280</c:v>
                </c:pt>
                <c:pt idx="87">
                  <c:v>46281</c:v>
                </c:pt>
                <c:pt idx="88">
                  <c:v>46282</c:v>
                </c:pt>
                <c:pt idx="89">
                  <c:v>46283</c:v>
                </c:pt>
                <c:pt idx="90">
                  <c:v>46284</c:v>
                </c:pt>
              </c:numCache>
            </c:numRef>
          </c:cat>
          <c:val>
            <c:numRef>
              <c:f>Resumen!$C$18:$C$108</c:f>
              <c:numCache>
                <c:formatCode>General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2380000000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4284416500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1428000000</c:v>
                </c:pt>
                <c:pt idx="42">
                  <c:v>1428000000</c:v>
                </c:pt>
                <c:pt idx="43">
                  <c:v>0</c:v>
                </c:pt>
                <c:pt idx="44">
                  <c:v>0</c:v>
                </c:pt>
                <c:pt idx="45">
                  <c:v>5712000000</c:v>
                </c:pt>
                <c:pt idx="46">
                  <c:v>0</c:v>
                </c:pt>
                <c:pt idx="47">
                  <c:v>0</c:v>
                </c:pt>
                <c:pt idx="48">
                  <c:v>2380000000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2380000000</c:v>
                </c:pt>
                <c:pt idx="53">
                  <c:v>3808000000</c:v>
                </c:pt>
                <c:pt idx="54">
                  <c:v>4284000000</c:v>
                </c:pt>
                <c:pt idx="55">
                  <c:v>0</c:v>
                </c:pt>
                <c:pt idx="56">
                  <c:v>2142000000</c:v>
                </c:pt>
                <c:pt idx="57">
                  <c:v>0</c:v>
                </c:pt>
                <c:pt idx="58">
                  <c:v>0</c:v>
                </c:pt>
                <c:pt idx="59">
                  <c:v>4284000000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1428000000</c:v>
                </c:pt>
                <c:pt idx="64">
                  <c:v>3808000000</c:v>
                </c:pt>
                <c:pt idx="65">
                  <c:v>0</c:v>
                </c:pt>
                <c:pt idx="66">
                  <c:v>1428000000</c:v>
                </c:pt>
                <c:pt idx="67">
                  <c:v>2380416500</c:v>
                </c:pt>
                <c:pt idx="68">
                  <c:v>0</c:v>
                </c:pt>
                <c:pt idx="69">
                  <c:v>1428000000</c:v>
                </c:pt>
                <c:pt idx="70">
                  <c:v>5712000000</c:v>
                </c:pt>
                <c:pt idx="71">
                  <c:v>0</c:v>
                </c:pt>
                <c:pt idx="72">
                  <c:v>1428000000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2380416500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1428000000</c:v>
                </c:pt>
                <c:pt idx="84">
                  <c:v>1428000000</c:v>
                </c:pt>
                <c:pt idx="85">
                  <c:v>0</c:v>
                </c:pt>
                <c:pt idx="86">
                  <c:v>0</c:v>
                </c:pt>
                <c:pt idx="87">
                  <c:v>2380000000</c:v>
                </c:pt>
                <c:pt idx="88">
                  <c:v>0</c:v>
                </c:pt>
                <c:pt idx="89">
                  <c:v>8092000000</c:v>
                </c:pt>
                <c:pt idx="90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&quot;$&quot; 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Número de ventas por día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Ventas</c:v>
          </c:tx>
          <c:spPr>
            <a:ln w="25400">
              <a:solidFill>
                <a:srgbClr val="8A5A3C"/>
              </a:solidFill>
            </a:ln>
          </c:spPr>
          <c:marker>
            <c:symbol val="circle"/>
            <c:size val="5"/>
          </c:marker>
          <c:cat>
            <c:numRef>
              <c:f>Resumen!$A$18:$A$108</c:f>
              <c:numCache>
                <c:formatCode>General</c:formatCode>
                <c:ptCount val="91"/>
                <c:pt idx="0">
                  <c:v>46194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46200</c:v>
                </c:pt>
                <c:pt idx="7">
                  <c:v>46201</c:v>
                </c:pt>
                <c:pt idx="8">
                  <c:v>46202</c:v>
                </c:pt>
                <c:pt idx="9">
                  <c:v>46203</c:v>
                </c:pt>
                <c:pt idx="10">
                  <c:v>46204</c:v>
                </c:pt>
                <c:pt idx="11">
                  <c:v>46205</c:v>
                </c:pt>
                <c:pt idx="12">
                  <c:v>46206</c:v>
                </c:pt>
                <c:pt idx="13">
                  <c:v>46207</c:v>
                </c:pt>
                <c:pt idx="14">
                  <c:v>46208</c:v>
                </c:pt>
                <c:pt idx="15">
                  <c:v>46209</c:v>
                </c:pt>
                <c:pt idx="16">
                  <c:v>46210</c:v>
                </c:pt>
                <c:pt idx="17">
                  <c:v>46211</c:v>
                </c:pt>
                <c:pt idx="18">
                  <c:v>46212</c:v>
                </c:pt>
                <c:pt idx="19">
                  <c:v>46213</c:v>
                </c:pt>
                <c:pt idx="20">
                  <c:v>46214</c:v>
                </c:pt>
                <c:pt idx="21">
                  <c:v>46215</c:v>
                </c:pt>
                <c:pt idx="22">
                  <c:v>46216</c:v>
                </c:pt>
                <c:pt idx="23">
                  <c:v>46217</c:v>
                </c:pt>
                <c:pt idx="24">
                  <c:v>46218</c:v>
                </c:pt>
                <c:pt idx="25">
                  <c:v>46219</c:v>
                </c:pt>
                <c:pt idx="26">
                  <c:v>46220</c:v>
                </c:pt>
                <c:pt idx="27">
                  <c:v>46221</c:v>
                </c:pt>
                <c:pt idx="28">
                  <c:v>46222</c:v>
                </c:pt>
                <c:pt idx="29">
                  <c:v>46223</c:v>
                </c:pt>
                <c:pt idx="30">
                  <c:v>46224</c:v>
                </c:pt>
                <c:pt idx="31">
                  <c:v>46225</c:v>
                </c:pt>
                <c:pt idx="32">
                  <c:v>46226</c:v>
                </c:pt>
                <c:pt idx="33">
                  <c:v>46227</c:v>
                </c:pt>
                <c:pt idx="34">
                  <c:v>46228</c:v>
                </c:pt>
                <c:pt idx="35">
                  <c:v>46229</c:v>
                </c:pt>
                <c:pt idx="36">
                  <c:v>46230</c:v>
                </c:pt>
                <c:pt idx="37">
                  <c:v>46231</c:v>
                </c:pt>
                <c:pt idx="38">
                  <c:v>46232</c:v>
                </c:pt>
                <c:pt idx="39">
                  <c:v>46233</c:v>
                </c:pt>
                <c:pt idx="40">
                  <c:v>46234</c:v>
                </c:pt>
                <c:pt idx="41">
                  <c:v>46235</c:v>
                </c:pt>
                <c:pt idx="42">
                  <c:v>46236</c:v>
                </c:pt>
                <c:pt idx="43">
                  <c:v>46237</c:v>
                </c:pt>
                <c:pt idx="44">
                  <c:v>46238</c:v>
                </c:pt>
                <c:pt idx="45">
                  <c:v>46239</c:v>
                </c:pt>
                <c:pt idx="46">
                  <c:v>46240</c:v>
                </c:pt>
                <c:pt idx="47">
                  <c:v>46241</c:v>
                </c:pt>
                <c:pt idx="48">
                  <c:v>46242</c:v>
                </c:pt>
                <c:pt idx="49">
                  <c:v>46243</c:v>
                </c:pt>
                <c:pt idx="50">
                  <c:v>46244</c:v>
                </c:pt>
                <c:pt idx="51">
                  <c:v>46245</c:v>
                </c:pt>
                <c:pt idx="52">
                  <c:v>46246</c:v>
                </c:pt>
                <c:pt idx="53">
                  <c:v>46247</c:v>
                </c:pt>
                <c:pt idx="54">
                  <c:v>46248</c:v>
                </c:pt>
                <c:pt idx="55">
                  <c:v>46249</c:v>
                </c:pt>
                <c:pt idx="56">
                  <c:v>46250</c:v>
                </c:pt>
                <c:pt idx="57">
                  <c:v>46251</c:v>
                </c:pt>
                <c:pt idx="58">
                  <c:v>46252</c:v>
                </c:pt>
                <c:pt idx="59">
                  <c:v>46253</c:v>
                </c:pt>
                <c:pt idx="60">
                  <c:v>46254</c:v>
                </c:pt>
                <c:pt idx="61">
                  <c:v>46255</c:v>
                </c:pt>
                <c:pt idx="62">
                  <c:v>46256</c:v>
                </c:pt>
                <c:pt idx="63">
                  <c:v>46257</c:v>
                </c:pt>
                <c:pt idx="64">
                  <c:v>46258</c:v>
                </c:pt>
                <c:pt idx="65">
                  <c:v>46259</c:v>
                </c:pt>
                <c:pt idx="66">
                  <c:v>46260</c:v>
                </c:pt>
                <c:pt idx="67">
                  <c:v>46261</c:v>
                </c:pt>
                <c:pt idx="68">
                  <c:v>46262</c:v>
                </c:pt>
                <c:pt idx="69">
                  <c:v>46263</c:v>
                </c:pt>
                <c:pt idx="70">
                  <c:v>46264</c:v>
                </c:pt>
                <c:pt idx="71">
                  <c:v>46265</c:v>
                </c:pt>
                <c:pt idx="72">
                  <c:v>46266</c:v>
                </c:pt>
                <c:pt idx="73">
                  <c:v>46267</c:v>
                </c:pt>
                <c:pt idx="74">
                  <c:v>46268</c:v>
                </c:pt>
                <c:pt idx="75">
                  <c:v>46269</c:v>
                </c:pt>
                <c:pt idx="76">
                  <c:v>46270</c:v>
                </c:pt>
                <c:pt idx="77">
                  <c:v>46271</c:v>
                </c:pt>
                <c:pt idx="78">
                  <c:v>46272</c:v>
                </c:pt>
                <c:pt idx="79">
                  <c:v>46273</c:v>
                </c:pt>
                <c:pt idx="80">
                  <c:v>46274</c:v>
                </c:pt>
                <c:pt idx="81">
                  <c:v>46275</c:v>
                </c:pt>
                <c:pt idx="82">
                  <c:v>46276</c:v>
                </c:pt>
                <c:pt idx="83">
                  <c:v>46277</c:v>
                </c:pt>
                <c:pt idx="84">
                  <c:v>46278</c:v>
                </c:pt>
                <c:pt idx="85">
                  <c:v>46279</c:v>
                </c:pt>
                <c:pt idx="86">
                  <c:v>46280</c:v>
                </c:pt>
                <c:pt idx="87">
                  <c:v>46281</c:v>
                </c:pt>
                <c:pt idx="88">
                  <c:v>46282</c:v>
                </c:pt>
                <c:pt idx="89">
                  <c:v>46283</c:v>
                </c:pt>
                <c:pt idx="90">
                  <c:v>46284</c:v>
                </c:pt>
              </c:numCache>
            </c:numRef>
          </c:cat>
          <c:val>
            <c:numRef>
              <c:f>Resumen!$B$18:$B$108</c:f>
              <c:numCache>
                <c:formatCode>General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4</c:v>
                </c:pt>
                <c:pt idx="90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16</xdr:row>
      <xdr:rowOff>0</xdr:rowOff>
    </xdr:from>
    <xdr:to>
      <xdr:col>11</xdr:col>
      <xdr:colOff>95250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11</xdr:col>
      <xdr:colOff>95250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showGridLines="0" tabSelected="1" workbookViewId="0"/>
  </sheetViews>
  <sheetFormatPr defaultRowHeight="15"/>
  <cols>
    <col min="1" max="6" width="20.7109375" customWidth="1"/>
  </cols>
  <sheetData>
    <row r="1" spans="1:6">
      <c r="A1" s="1" t="s">
        <v>0</v>
      </c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 ht="26" customHeight="1">
      <c r="A7" s="4">
        <v>35</v>
      </c>
      <c r="B7" s="4">
        <v>24</v>
      </c>
      <c r="C7" s="4">
        <v>7</v>
      </c>
      <c r="D7" s="4">
        <v>4</v>
      </c>
      <c r="E7" s="5">
        <v>67831249500</v>
      </c>
      <c r="F7" s="5">
        <v>2826302062.5</v>
      </c>
    </row>
    <row r="9" spans="1:6">
      <c r="A9" s="6" t="s">
        <v>10</v>
      </c>
    </row>
    <row r="10" spans="1:6">
      <c r="A10" s="7" t="s">
        <v>11</v>
      </c>
      <c r="B10" s="7" t="s">
        <v>12</v>
      </c>
      <c r="C10" s="7" t="s">
        <v>13</v>
      </c>
      <c r="D10" s="7" t="s">
        <v>14</v>
      </c>
    </row>
    <row r="11" spans="1:6">
      <c r="A11" s="8" t="s">
        <v>4</v>
      </c>
      <c r="B11" s="9">
        <v>35</v>
      </c>
      <c r="C11" s="9">
        <v>0</v>
      </c>
      <c r="D11" s="8" t="s">
        <v>15</v>
      </c>
    </row>
    <row r="12" spans="1:6">
      <c r="A12" s="8" t="s">
        <v>8</v>
      </c>
      <c r="B12" s="10">
        <v>67831249500</v>
      </c>
      <c r="C12" s="10">
        <v>0</v>
      </c>
      <c r="D12" s="8" t="s">
        <v>15</v>
      </c>
    </row>
    <row r="13" spans="1:6">
      <c r="A13" s="8" t="s">
        <v>16</v>
      </c>
      <c r="B13" s="10">
        <v>2826302062.5</v>
      </c>
      <c r="C13" s="10">
        <v>0</v>
      </c>
      <c r="D13" s="8" t="s">
        <v>15</v>
      </c>
    </row>
    <row r="16" spans="1:6">
      <c r="A16" s="6" t="s">
        <v>17</v>
      </c>
    </row>
    <row r="17" spans="1:3">
      <c r="A17" s="7" t="s">
        <v>18</v>
      </c>
      <c r="B17" s="7" t="s">
        <v>4</v>
      </c>
      <c r="C17" s="7" t="s">
        <v>8</v>
      </c>
    </row>
    <row r="18" spans="1:3">
      <c r="A18" s="11">
        <v>46194</v>
      </c>
      <c r="B18" s="9">
        <v>0</v>
      </c>
      <c r="C18" s="10">
        <v>0</v>
      </c>
    </row>
    <row r="19" spans="1:3">
      <c r="A19" s="11">
        <v>46195</v>
      </c>
      <c r="B19" s="9">
        <v>0</v>
      </c>
      <c r="C19" s="10">
        <v>0</v>
      </c>
    </row>
    <row r="20" spans="1:3">
      <c r="A20" s="11">
        <v>46196</v>
      </c>
      <c r="B20" s="9">
        <v>0</v>
      </c>
      <c r="C20" s="10">
        <v>0</v>
      </c>
    </row>
    <row r="21" spans="1:3">
      <c r="A21" s="11">
        <v>46197</v>
      </c>
      <c r="B21" s="9">
        <v>0</v>
      </c>
      <c r="C21" s="10">
        <v>0</v>
      </c>
    </row>
    <row r="22" spans="1:3">
      <c r="A22" s="11">
        <v>46198</v>
      </c>
      <c r="B22" s="9">
        <v>0</v>
      </c>
      <c r="C22" s="10">
        <v>0</v>
      </c>
    </row>
    <row r="23" spans="1:3">
      <c r="A23" s="11">
        <v>46199</v>
      </c>
      <c r="B23" s="9">
        <v>0</v>
      </c>
      <c r="C23" s="10">
        <v>0</v>
      </c>
    </row>
    <row r="24" spans="1:3">
      <c r="A24" s="11">
        <v>46200</v>
      </c>
      <c r="B24" s="9">
        <v>0</v>
      </c>
      <c r="C24" s="10">
        <v>0</v>
      </c>
    </row>
    <row r="25" spans="1:3">
      <c r="A25" s="11">
        <v>46201</v>
      </c>
      <c r="B25" s="9">
        <v>0</v>
      </c>
      <c r="C25" s="10">
        <v>0</v>
      </c>
    </row>
    <row r="26" spans="1:3">
      <c r="A26" s="11">
        <v>46202</v>
      </c>
      <c r="B26" s="9">
        <v>0</v>
      </c>
      <c r="C26" s="10">
        <v>0</v>
      </c>
    </row>
    <row r="27" spans="1:3">
      <c r="A27" s="11">
        <v>46203</v>
      </c>
      <c r="B27" s="9">
        <v>0</v>
      </c>
      <c r="C27" s="10">
        <v>0</v>
      </c>
    </row>
    <row r="28" spans="1:3">
      <c r="A28" s="11">
        <v>46204</v>
      </c>
      <c r="B28" s="9">
        <v>0</v>
      </c>
      <c r="C28" s="10">
        <v>0</v>
      </c>
    </row>
    <row r="29" spans="1:3">
      <c r="A29" s="11">
        <v>46205</v>
      </c>
      <c r="B29" s="9">
        <v>0</v>
      </c>
      <c r="C29" s="10">
        <v>0</v>
      </c>
    </row>
    <row r="30" spans="1:3">
      <c r="A30" s="11">
        <v>46206</v>
      </c>
      <c r="B30" s="9">
        <v>0</v>
      </c>
      <c r="C30" s="10">
        <v>0</v>
      </c>
    </row>
    <row r="31" spans="1:3">
      <c r="A31" s="11">
        <v>46207</v>
      </c>
      <c r="B31" s="9">
        <v>0</v>
      </c>
      <c r="C31" s="10">
        <v>0</v>
      </c>
    </row>
    <row r="32" spans="1:3">
      <c r="A32" s="11">
        <v>46208</v>
      </c>
      <c r="B32" s="9">
        <v>0</v>
      </c>
      <c r="C32" s="10">
        <v>0</v>
      </c>
    </row>
    <row r="33" spans="1:3">
      <c r="A33" s="11">
        <v>46209</v>
      </c>
      <c r="B33" s="9">
        <v>0</v>
      </c>
      <c r="C33" s="10">
        <v>0</v>
      </c>
    </row>
    <row r="34" spans="1:3">
      <c r="A34" s="11">
        <v>46210</v>
      </c>
      <c r="B34" s="9">
        <v>0</v>
      </c>
      <c r="C34" s="10">
        <v>0</v>
      </c>
    </row>
    <row r="35" spans="1:3">
      <c r="A35" s="11">
        <v>46211</v>
      </c>
      <c r="B35" s="9">
        <v>0</v>
      </c>
      <c r="C35" s="10">
        <v>0</v>
      </c>
    </row>
    <row r="36" spans="1:3">
      <c r="A36" s="11">
        <v>46212</v>
      </c>
      <c r="B36" s="9">
        <v>0</v>
      </c>
      <c r="C36" s="10">
        <v>0</v>
      </c>
    </row>
    <row r="37" spans="1:3">
      <c r="A37" s="11">
        <v>46213</v>
      </c>
      <c r="B37" s="9">
        <v>0</v>
      </c>
      <c r="C37" s="10">
        <v>0</v>
      </c>
    </row>
    <row r="38" spans="1:3">
      <c r="A38" s="11">
        <v>46214</v>
      </c>
      <c r="B38" s="9">
        <v>0</v>
      </c>
      <c r="C38" s="10">
        <v>0</v>
      </c>
    </row>
    <row r="39" spans="1:3">
      <c r="A39" s="11">
        <v>46215</v>
      </c>
      <c r="B39" s="9">
        <v>0</v>
      </c>
      <c r="C39" s="10">
        <v>0</v>
      </c>
    </row>
    <row r="40" spans="1:3">
      <c r="A40" s="11">
        <v>46216</v>
      </c>
      <c r="B40" s="9">
        <v>0</v>
      </c>
      <c r="C40" s="10">
        <v>0</v>
      </c>
    </row>
    <row r="41" spans="1:3">
      <c r="A41" s="11">
        <v>46217</v>
      </c>
      <c r="B41" s="9">
        <v>0</v>
      </c>
      <c r="C41" s="10">
        <v>0</v>
      </c>
    </row>
    <row r="42" spans="1:3">
      <c r="A42" s="11">
        <v>46218</v>
      </c>
      <c r="B42" s="9">
        <v>0</v>
      </c>
      <c r="C42" s="10">
        <v>0</v>
      </c>
    </row>
    <row r="43" spans="1:3">
      <c r="A43" s="11">
        <v>46219</v>
      </c>
      <c r="B43" s="9">
        <v>0</v>
      </c>
      <c r="C43" s="10">
        <v>0</v>
      </c>
    </row>
    <row r="44" spans="1:3">
      <c r="A44" s="11">
        <v>46220</v>
      </c>
      <c r="B44" s="9">
        <v>0</v>
      </c>
      <c r="C44" s="10">
        <v>0</v>
      </c>
    </row>
    <row r="45" spans="1:3">
      <c r="A45" s="11">
        <v>46221</v>
      </c>
      <c r="B45" s="9">
        <v>0</v>
      </c>
      <c r="C45" s="10">
        <v>0</v>
      </c>
    </row>
    <row r="46" spans="1:3">
      <c r="A46" s="11">
        <v>46222</v>
      </c>
      <c r="B46" s="9">
        <v>0</v>
      </c>
      <c r="C46" s="10">
        <v>0</v>
      </c>
    </row>
    <row r="47" spans="1:3">
      <c r="A47" s="11">
        <v>46223</v>
      </c>
      <c r="B47" s="9">
        <v>0</v>
      </c>
      <c r="C47" s="10">
        <v>0</v>
      </c>
    </row>
    <row r="48" spans="1:3">
      <c r="A48" s="11">
        <v>46224</v>
      </c>
      <c r="B48" s="9">
        <v>0</v>
      </c>
      <c r="C48" s="10">
        <v>0</v>
      </c>
    </row>
    <row r="49" spans="1:3">
      <c r="A49" s="11">
        <v>46225</v>
      </c>
      <c r="B49" s="9">
        <v>0</v>
      </c>
      <c r="C49" s="10">
        <v>0</v>
      </c>
    </row>
    <row r="50" spans="1:3">
      <c r="A50" s="11">
        <v>46226</v>
      </c>
      <c r="B50" s="9">
        <v>1</v>
      </c>
      <c r="C50" s="10">
        <v>2380000000</v>
      </c>
    </row>
    <row r="51" spans="1:3">
      <c r="A51" s="11">
        <v>46227</v>
      </c>
      <c r="B51" s="9">
        <v>0</v>
      </c>
      <c r="C51" s="10">
        <v>0</v>
      </c>
    </row>
    <row r="52" spans="1:3">
      <c r="A52" s="11">
        <v>46228</v>
      </c>
      <c r="B52" s="9">
        <v>0</v>
      </c>
      <c r="C52" s="10">
        <v>0</v>
      </c>
    </row>
    <row r="53" spans="1:3">
      <c r="A53" s="11">
        <v>46229</v>
      </c>
      <c r="B53" s="9">
        <v>0</v>
      </c>
      <c r="C53" s="10">
        <v>0</v>
      </c>
    </row>
    <row r="54" spans="1:3">
      <c r="A54" s="11">
        <v>46230</v>
      </c>
      <c r="B54" s="9">
        <v>0</v>
      </c>
      <c r="C54" s="10">
        <v>0</v>
      </c>
    </row>
    <row r="55" spans="1:3">
      <c r="A55" s="11">
        <v>46231</v>
      </c>
      <c r="B55" s="9">
        <v>1</v>
      </c>
      <c r="C55" s="10">
        <v>4284416500</v>
      </c>
    </row>
    <row r="56" spans="1:3">
      <c r="A56" s="11">
        <v>46232</v>
      </c>
      <c r="B56" s="9">
        <v>0</v>
      </c>
      <c r="C56" s="10">
        <v>0</v>
      </c>
    </row>
    <row r="57" spans="1:3">
      <c r="A57" s="11">
        <v>46233</v>
      </c>
      <c r="B57" s="9">
        <v>0</v>
      </c>
      <c r="C57" s="10">
        <v>0</v>
      </c>
    </row>
    <row r="58" spans="1:3">
      <c r="A58" s="11">
        <v>46234</v>
      </c>
      <c r="B58" s="9">
        <v>0</v>
      </c>
      <c r="C58" s="10">
        <v>0</v>
      </c>
    </row>
    <row r="59" spans="1:3">
      <c r="A59" s="11">
        <v>46235</v>
      </c>
      <c r="B59" s="9">
        <v>1</v>
      </c>
      <c r="C59" s="10">
        <v>1428000000</v>
      </c>
    </row>
    <row r="60" spans="1:3">
      <c r="A60" s="11">
        <v>46236</v>
      </c>
      <c r="B60" s="9">
        <v>1</v>
      </c>
      <c r="C60" s="10">
        <v>1428000000</v>
      </c>
    </row>
    <row r="61" spans="1:3">
      <c r="A61" s="11">
        <v>46237</v>
      </c>
      <c r="B61" s="9">
        <v>0</v>
      </c>
      <c r="C61" s="10">
        <v>0</v>
      </c>
    </row>
    <row r="62" spans="1:3">
      <c r="A62" s="11">
        <v>46238</v>
      </c>
      <c r="B62" s="9">
        <v>0</v>
      </c>
      <c r="C62" s="10">
        <v>0</v>
      </c>
    </row>
    <row r="63" spans="1:3">
      <c r="A63" s="11">
        <v>46239</v>
      </c>
      <c r="B63" s="9">
        <v>1</v>
      </c>
      <c r="C63" s="10">
        <v>5712000000</v>
      </c>
    </row>
    <row r="64" spans="1:3">
      <c r="A64" s="11">
        <v>46240</v>
      </c>
      <c r="B64" s="9">
        <v>0</v>
      </c>
      <c r="C64" s="10">
        <v>0</v>
      </c>
    </row>
    <row r="65" spans="1:3">
      <c r="A65" s="11">
        <v>46241</v>
      </c>
      <c r="B65" s="9">
        <v>0</v>
      </c>
      <c r="C65" s="10">
        <v>0</v>
      </c>
    </row>
    <row r="66" spans="1:3">
      <c r="A66" s="11">
        <v>46242</v>
      </c>
      <c r="B66" s="9">
        <v>1</v>
      </c>
      <c r="C66" s="10">
        <v>2380000000</v>
      </c>
    </row>
    <row r="67" spans="1:3">
      <c r="A67" s="11">
        <v>46243</v>
      </c>
      <c r="B67" s="9">
        <v>0</v>
      </c>
      <c r="C67" s="10">
        <v>0</v>
      </c>
    </row>
    <row r="68" spans="1:3">
      <c r="A68" s="11">
        <v>46244</v>
      </c>
      <c r="B68" s="9">
        <v>0</v>
      </c>
      <c r="C68" s="10">
        <v>0</v>
      </c>
    </row>
    <row r="69" spans="1:3">
      <c r="A69" s="11">
        <v>46245</v>
      </c>
      <c r="B69" s="9">
        <v>0</v>
      </c>
      <c r="C69" s="10">
        <v>0</v>
      </c>
    </row>
    <row r="70" spans="1:3">
      <c r="A70" s="11">
        <v>46246</v>
      </c>
      <c r="B70" s="9">
        <v>1</v>
      </c>
      <c r="C70" s="10">
        <v>2380000000</v>
      </c>
    </row>
    <row r="71" spans="1:3">
      <c r="A71" s="11">
        <v>46247</v>
      </c>
      <c r="B71" s="9">
        <v>1</v>
      </c>
      <c r="C71" s="10">
        <v>3808000000</v>
      </c>
    </row>
    <row r="72" spans="1:3">
      <c r="A72" s="11">
        <v>46248</v>
      </c>
      <c r="B72" s="9">
        <v>1</v>
      </c>
      <c r="C72" s="10">
        <v>4284000000</v>
      </c>
    </row>
    <row r="73" spans="1:3">
      <c r="A73" s="11">
        <v>46249</v>
      </c>
      <c r="B73" s="9">
        <v>0</v>
      </c>
      <c r="C73" s="10">
        <v>0</v>
      </c>
    </row>
    <row r="74" spans="1:3">
      <c r="A74" s="11">
        <v>46250</v>
      </c>
      <c r="B74" s="9">
        <v>1</v>
      </c>
      <c r="C74" s="10">
        <v>2142000000</v>
      </c>
    </row>
    <row r="75" spans="1:3">
      <c r="A75" s="11">
        <v>46251</v>
      </c>
      <c r="B75" s="9">
        <v>0</v>
      </c>
      <c r="C75" s="10">
        <v>0</v>
      </c>
    </row>
    <row r="76" spans="1:3">
      <c r="A76" s="11">
        <v>46252</v>
      </c>
      <c r="B76" s="9">
        <v>0</v>
      </c>
      <c r="C76" s="10">
        <v>0</v>
      </c>
    </row>
    <row r="77" spans="1:3">
      <c r="A77" s="11">
        <v>46253</v>
      </c>
      <c r="B77" s="9">
        <v>1</v>
      </c>
      <c r="C77" s="10">
        <v>4284000000</v>
      </c>
    </row>
    <row r="78" spans="1:3">
      <c r="A78" s="11">
        <v>46254</v>
      </c>
      <c r="B78" s="9">
        <v>0</v>
      </c>
      <c r="C78" s="10">
        <v>0</v>
      </c>
    </row>
    <row r="79" spans="1:3">
      <c r="A79" s="11">
        <v>46255</v>
      </c>
      <c r="B79" s="9">
        <v>0</v>
      </c>
      <c r="C79" s="10">
        <v>0</v>
      </c>
    </row>
    <row r="80" spans="1:3">
      <c r="A80" s="11">
        <v>46256</v>
      </c>
      <c r="B80" s="9">
        <v>0</v>
      </c>
      <c r="C80" s="10">
        <v>0</v>
      </c>
    </row>
    <row r="81" spans="1:3">
      <c r="A81" s="11">
        <v>46257</v>
      </c>
      <c r="B81" s="9">
        <v>1</v>
      </c>
      <c r="C81" s="10">
        <v>1428000000</v>
      </c>
    </row>
    <row r="82" spans="1:3">
      <c r="A82" s="11">
        <v>46258</v>
      </c>
      <c r="B82" s="9">
        <v>1</v>
      </c>
      <c r="C82" s="10">
        <v>3808000000</v>
      </c>
    </row>
    <row r="83" spans="1:3">
      <c r="A83" s="11">
        <v>46259</v>
      </c>
      <c r="B83" s="9">
        <v>0</v>
      </c>
      <c r="C83" s="10">
        <v>0</v>
      </c>
    </row>
    <row r="84" spans="1:3">
      <c r="A84" s="11">
        <v>46260</v>
      </c>
      <c r="B84" s="9">
        <v>1</v>
      </c>
      <c r="C84" s="10">
        <v>1428000000</v>
      </c>
    </row>
    <row r="85" spans="1:3">
      <c r="A85" s="11">
        <v>46261</v>
      </c>
      <c r="B85" s="9">
        <v>1</v>
      </c>
      <c r="C85" s="10">
        <v>2380416500</v>
      </c>
    </row>
    <row r="86" spans="1:3">
      <c r="A86" s="11">
        <v>46262</v>
      </c>
      <c r="B86" s="9">
        <v>0</v>
      </c>
      <c r="C86" s="10">
        <v>0</v>
      </c>
    </row>
    <row r="87" spans="1:3">
      <c r="A87" s="11">
        <v>46263</v>
      </c>
      <c r="B87" s="9">
        <v>1</v>
      </c>
      <c r="C87" s="10">
        <v>1428000000</v>
      </c>
    </row>
    <row r="88" spans="1:3">
      <c r="A88" s="11">
        <v>46264</v>
      </c>
      <c r="B88" s="9">
        <v>1</v>
      </c>
      <c r="C88" s="10">
        <v>5712000000</v>
      </c>
    </row>
    <row r="89" spans="1:3">
      <c r="A89" s="11">
        <v>46265</v>
      </c>
      <c r="B89" s="9">
        <v>0</v>
      </c>
      <c r="C89" s="10">
        <v>0</v>
      </c>
    </row>
    <row r="90" spans="1:3">
      <c r="A90" s="11">
        <v>46266</v>
      </c>
      <c r="B90" s="9">
        <v>1</v>
      </c>
      <c r="C90" s="10">
        <v>1428000000</v>
      </c>
    </row>
    <row r="91" spans="1:3">
      <c r="A91" s="11">
        <v>46267</v>
      </c>
      <c r="B91" s="9">
        <v>0</v>
      </c>
      <c r="C91" s="10">
        <v>0</v>
      </c>
    </row>
    <row r="92" spans="1:3">
      <c r="A92" s="11">
        <v>46268</v>
      </c>
      <c r="B92" s="9">
        <v>0</v>
      </c>
      <c r="C92" s="10">
        <v>0</v>
      </c>
    </row>
    <row r="93" spans="1:3">
      <c r="A93" s="11">
        <v>46269</v>
      </c>
      <c r="B93" s="9">
        <v>0</v>
      </c>
      <c r="C93" s="10">
        <v>0</v>
      </c>
    </row>
    <row r="94" spans="1:3">
      <c r="A94" s="11">
        <v>46270</v>
      </c>
      <c r="B94" s="9">
        <v>0</v>
      </c>
      <c r="C94" s="10">
        <v>0</v>
      </c>
    </row>
    <row r="95" spans="1:3">
      <c r="A95" s="11">
        <v>46271</v>
      </c>
      <c r="B95" s="9">
        <v>0</v>
      </c>
      <c r="C95" s="10">
        <v>0</v>
      </c>
    </row>
    <row r="96" spans="1:3">
      <c r="A96" s="11">
        <v>46272</v>
      </c>
      <c r="B96" s="9">
        <v>1</v>
      </c>
      <c r="C96" s="10">
        <v>0</v>
      </c>
    </row>
    <row r="97" spans="1:3">
      <c r="A97" s="11">
        <v>46273</v>
      </c>
      <c r="B97" s="9">
        <v>2</v>
      </c>
      <c r="C97" s="10">
        <v>2380416500</v>
      </c>
    </row>
    <row r="98" spans="1:3">
      <c r="A98" s="11">
        <v>46274</v>
      </c>
      <c r="B98" s="9">
        <v>0</v>
      </c>
      <c r="C98" s="10">
        <v>0</v>
      </c>
    </row>
    <row r="99" spans="1:3">
      <c r="A99" s="11">
        <v>46275</v>
      </c>
      <c r="B99" s="9">
        <v>0</v>
      </c>
      <c r="C99" s="10">
        <v>0</v>
      </c>
    </row>
    <row r="100" spans="1:3">
      <c r="A100" s="11">
        <v>46276</v>
      </c>
      <c r="B100" s="9">
        <v>1</v>
      </c>
      <c r="C100" s="10">
        <v>0</v>
      </c>
    </row>
    <row r="101" spans="1:3">
      <c r="A101" s="11">
        <v>46277</v>
      </c>
      <c r="B101" s="9">
        <v>2</v>
      </c>
      <c r="C101" s="10">
        <v>1428000000</v>
      </c>
    </row>
    <row r="102" spans="1:3">
      <c r="A102" s="11">
        <v>46278</v>
      </c>
      <c r="B102" s="9">
        <v>2</v>
      </c>
      <c r="C102" s="10">
        <v>1428000000</v>
      </c>
    </row>
    <row r="103" spans="1:3">
      <c r="A103" s="11">
        <v>46279</v>
      </c>
      <c r="B103" s="9">
        <v>0</v>
      </c>
      <c r="C103" s="10">
        <v>0</v>
      </c>
    </row>
    <row r="104" spans="1:3">
      <c r="A104" s="11">
        <v>46280</v>
      </c>
      <c r="B104" s="9">
        <v>0</v>
      </c>
      <c r="C104" s="10">
        <v>0</v>
      </c>
    </row>
    <row r="105" spans="1:3">
      <c r="A105" s="11">
        <v>46281</v>
      </c>
      <c r="B105" s="9">
        <v>1</v>
      </c>
      <c r="C105" s="10">
        <v>2380000000</v>
      </c>
    </row>
    <row r="106" spans="1:3">
      <c r="A106" s="11">
        <v>46282</v>
      </c>
      <c r="B106" s="9">
        <v>0</v>
      </c>
      <c r="C106" s="10">
        <v>0</v>
      </c>
    </row>
    <row r="107" spans="1:3">
      <c r="A107" s="11">
        <v>46283</v>
      </c>
      <c r="B107" s="9">
        <v>4</v>
      </c>
      <c r="C107" s="10">
        <v>8092000000</v>
      </c>
    </row>
    <row r="108" spans="1:3">
      <c r="A108" s="11">
        <v>46284</v>
      </c>
      <c r="B108" s="9">
        <v>0</v>
      </c>
      <c r="C108" s="10">
        <v>0</v>
      </c>
    </row>
    <row r="109" spans="1:3">
      <c r="A109" s="12" t="s">
        <v>19</v>
      </c>
      <c r="B109" s="13">
        <f>SUM(B18:B108)</f>
        <v>0</v>
      </c>
      <c r="C109" s="14">
        <f>SUM(C18:C108)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7109375" customWidth="1"/>
    <col min="2" max="2" width="18.7109375" customWidth="1"/>
    <col min="3" max="3" width="30.7109375" customWidth="1"/>
    <col min="4" max="4" width="26.7109375" customWidth="1"/>
    <col min="5" max="5" width="9.7109375" customWidth="1"/>
    <col min="6" max="6" width="13.7109375" customWidth="1"/>
    <col min="7" max="10" width="16.7109375" customWidth="1"/>
  </cols>
  <sheetData>
    <row r="1" spans="1:10" x14ac:dyDescent="0.25">
      <c r="A1" s="7" t="s">
        <v>20</v>
      </c>
      <c r="B1" s="7" t="s">
        <v>18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</row>
    <row r="2" spans="1:10" x14ac:dyDescent="0.25">
      <c r="A2" s="8" t="s">
        <v>29</v>
      </c>
      <c r="B2" s="15">
        <v>46226.53125</v>
      </c>
      <c r="C2" s="8" t="s">
        <v>30</v>
      </c>
      <c r="D2" s="8" t="s">
        <v>31</v>
      </c>
      <c r="E2" s="9">
        <v>1</v>
      </c>
      <c r="F2" s="8" t="s">
        <v>32</v>
      </c>
      <c r="G2" s="8" t="s">
        <v>33</v>
      </c>
      <c r="H2" s="10">
        <v>2000000000</v>
      </c>
      <c r="I2" s="10">
        <v>380000000</v>
      </c>
      <c r="J2" s="10">
        <v>2380000000</v>
      </c>
    </row>
    <row r="3" spans="1:10" x14ac:dyDescent="0.25">
      <c r="A3" s="8" t="s">
        <v>34</v>
      </c>
      <c r="B3" s="15">
        <v>46231.41666666666</v>
      </c>
      <c r="C3" s="8" t="s">
        <v>35</v>
      </c>
      <c r="D3" s="8" t="s">
        <v>36</v>
      </c>
      <c r="E3" s="9">
        <v>2</v>
      </c>
      <c r="F3" s="8" t="s">
        <v>32</v>
      </c>
      <c r="G3" s="8" t="s">
        <v>37</v>
      </c>
      <c r="H3" s="10">
        <v>3600350000</v>
      </c>
      <c r="I3" s="10">
        <v>684066500</v>
      </c>
      <c r="J3" s="10">
        <v>4284416500</v>
      </c>
    </row>
    <row r="4" spans="1:10" x14ac:dyDescent="0.25">
      <c r="A4" s="8" t="s">
        <v>38</v>
      </c>
      <c r="B4" s="15">
        <v>46235.61458333334</v>
      </c>
      <c r="C4" s="8" t="s">
        <v>39</v>
      </c>
      <c r="D4" s="8" t="s">
        <v>40</v>
      </c>
      <c r="E4" s="9">
        <v>1</v>
      </c>
      <c r="F4" s="8" t="s">
        <v>32</v>
      </c>
      <c r="G4" s="8" t="s">
        <v>41</v>
      </c>
      <c r="H4" s="10">
        <v>1200000000</v>
      </c>
      <c r="I4" s="10">
        <v>228000000</v>
      </c>
      <c r="J4" s="10">
        <v>1428000000</v>
      </c>
    </row>
    <row r="5" spans="1:10" x14ac:dyDescent="0.25">
      <c r="A5" s="8" t="s">
        <v>42</v>
      </c>
      <c r="B5" s="15">
        <v>46236.65625</v>
      </c>
      <c r="C5" s="8" t="s">
        <v>35</v>
      </c>
      <c r="D5" s="8" t="s">
        <v>40</v>
      </c>
      <c r="E5" s="9">
        <v>1</v>
      </c>
      <c r="F5" s="8" t="s">
        <v>32</v>
      </c>
      <c r="G5" s="8" t="s">
        <v>43</v>
      </c>
      <c r="H5" s="10">
        <v>1200000000</v>
      </c>
      <c r="I5" s="10">
        <v>228000000</v>
      </c>
      <c r="J5" s="10">
        <v>1428000000</v>
      </c>
    </row>
    <row r="6" spans="1:10" x14ac:dyDescent="0.25">
      <c r="A6" s="8" t="s">
        <v>44</v>
      </c>
      <c r="B6" s="15">
        <v>46239.69791666666</v>
      </c>
      <c r="C6" s="8" t="s">
        <v>39</v>
      </c>
      <c r="D6" s="8" t="s">
        <v>31</v>
      </c>
      <c r="E6" s="9">
        <v>1</v>
      </c>
      <c r="F6" s="8" t="s">
        <v>32</v>
      </c>
      <c r="G6" s="8" t="s">
        <v>45</v>
      </c>
      <c r="H6" s="10">
        <v>4800000000</v>
      </c>
      <c r="I6" s="10">
        <v>912000000</v>
      </c>
      <c r="J6" s="10">
        <v>5712000000</v>
      </c>
    </row>
    <row r="7" spans="1:10" x14ac:dyDescent="0.25">
      <c r="A7" s="8" t="s">
        <v>46</v>
      </c>
      <c r="B7" s="15">
        <v>46241.44791666666</v>
      </c>
      <c r="C7" s="8" t="s">
        <v>47</v>
      </c>
      <c r="D7" s="8" t="s">
        <v>31</v>
      </c>
      <c r="E7" s="9">
        <v>2</v>
      </c>
      <c r="F7" s="8" t="s">
        <v>48</v>
      </c>
      <c r="G7" s="8" t="s">
        <v>37</v>
      </c>
      <c r="H7" s="10">
        <v>1800350000</v>
      </c>
      <c r="I7" s="10">
        <v>342066500</v>
      </c>
      <c r="J7" s="10">
        <v>2142416500</v>
      </c>
    </row>
    <row r="8" spans="1:10" x14ac:dyDescent="0.25">
      <c r="A8" s="8" t="s">
        <v>49</v>
      </c>
      <c r="B8" s="15">
        <v>46242.53125</v>
      </c>
      <c r="C8" s="8" t="s">
        <v>39</v>
      </c>
      <c r="D8" s="8" t="s">
        <v>40</v>
      </c>
      <c r="E8" s="9">
        <v>1</v>
      </c>
      <c r="F8" s="8" t="s">
        <v>32</v>
      </c>
      <c r="G8" s="8" t="s">
        <v>50</v>
      </c>
      <c r="H8" s="10">
        <v>2000000000</v>
      </c>
      <c r="I8" s="10">
        <v>380000000</v>
      </c>
      <c r="J8" s="10">
        <v>2380000000</v>
      </c>
    </row>
    <row r="9" spans="1:10" x14ac:dyDescent="0.25">
      <c r="A9" s="8" t="s">
        <v>51</v>
      </c>
      <c r="B9" s="15">
        <v>46243.66666666666</v>
      </c>
      <c r="C9" s="8" t="s">
        <v>39</v>
      </c>
      <c r="D9" s="8" t="s">
        <v>40</v>
      </c>
      <c r="E9" s="9">
        <v>1</v>
      </c>
      <c r="F9" s="8" t="s">
        <v>48</v>
      </c>
      <c r="G9" s="8" t="s">
        <v>37</v>
      </c>
      <c r="H9" s="10">
        <v>3200000000</v>
      </c>
      <c r="I9" s="10">
        <v>608000000</v>
      </c>
      <c r="J9" s="10">
        <v>3808000000</v>
      </c>
    </row>
    <row r="10" spans="1:10" x14ac:dyDescent="0.25">
      <c r="A10" s="8" t="s">
        <v>52</v>
      </c>
      <c r="B10" s="15">
        <v>46246.6875</v>
      </c>
      <c r="C10" s="8" t="s">
        <v>53</v>
      </c>
      <c r="D10" s="8" t="s">
        <v>36</v>
      </c>
      <c r="E10" s="9">
        <v>1</v>
      </c>
      <c r="F10" s="8" t="s">
        <v>32</v>
      </c>
      <c r="G10" s="8" t="s">
        <v>37</v>
      </c>
      <c r="H10" s="10">
        <v>2000000000</v>
      </c>
      <c r="I10" s="10">
        <v>380000000</v>
      </c>
      <c r="J10" s="10">
        <v>2380000000</v>
      </c>
    </row>
    <row r="11" spans="1:10" x14ac:dyDescent="0.25">
      <c r="A11" s="8" t="s">
        <v>54</v>
      </c>
      <c r="B11" s="15">
        <v>46247.33333333334</v>
      </c>
      <c r="C11" s="8" t="s">
        <v>30</v>
      </c>
      <c r="D11" s="8" t="s">
        <v>31</v>
      </c>
      <c r="E11" s="9">
        <v>1</v>
      </c>
      <c r="F11" s="8" t="s">
        <v>48</v>
      </c>
      <c r="G11" s="8" t="s">
        <v>37</v>
      </c>
      <c r="H11" s="10">
        <v>1200000000</v>
      </c>
      <c r="I11" s="10">
        <v>228000000</v>
      </c>
      <c r="J11" s="10">
        <v>1428000000</v>
      </c>
    </row>
    <row r="12" spans="1:10" x14ac:dyDescent="0.25">
      <c r="A12" s="8" t="s">
        <v>55</v>
      </c>
      <c r="B12" s="15">
        <v>46247.53125</v>
      </c>
      <c r="C12" s="8" t="s">
        <v>56</v>
      </c>
      <c r="D12" s="8" t="s">
        <v>40</v>
      </c>
      <c r="E12" s="9">
        <v>1</v>
      </c>
      <c r="F12" s="8" t="s">
        <v>32</v>
      </c>
      <c r="G12" s="8" t="s">
        <v>57</v>
      </c>
      <c r="H12" s="10">
        <v>3200000000</v>
      </c>
      <c r="I12" s="10">
        <v>608000000</v>
      </c>
      <c r="J12" s="10">
        <v>3808000000</v>
      </c>
    </row>
    <row r="13" spans="1:10" x14ac:dyDescent="0.25">
      <c r="A13" s="8" t="s">
        <v>58</v>
      </c>
      <c r="B13" s="15">
        <v>46248.45833333334</v>
      </c>
      <c r="C13" s="8" t="s">
        <v>35</v>
      </c>
      <c r="D13" s="8" t="s">
        <v>36</v>
      </c>
      <c r="E13" s="9">
        <v>1</v>
      </c>
      <c r="F13" s="8" t="s">
        <v>32</v>
      </c>
      <c r="G13" s="8" t="s">
        <v>37</v>
      </c>
      <c r="H13" s="10">
        <v>3600000000</v>
      </c>
      <c r="I13" s="10">
        <v>684000000</v>
      </c>
      <c r="J13" s="10">
        <v>4284000000</v>
      </c>
    </row>
    <row r="14" spans="1:10" x14ac:dyDescent="0.25">
      <c r="A14" s="8" t="s">
        <v>59</v>
      </c>
      <c r="B14" s="15">
        <v>46250.55208333334</v>
      </c>
      <c r="C14" s="8" t="s">
        <v>60</v>
      </c>
      <c r="D14" s="8" t="s">
        <v>40</v>
      </c>
      <c r="E14" s="9">
        <v>1</v>
      </c>
      <c r="F14" s="8" t="s">
        <v>32</v>
      </c>
      <c r="G14" s="8" t="s">
        <v>61</v>
      </c>
      <c r="H14" s="10">
        <v>1800000000</v>
      </c>
      <c r="I14" s="10">
        <v>342000000</v>
      </c>
      <c r="J14" s="10">
        <v>2142000000</v>
      </c>
    </row>
    <row r="15" spans="1:10" x14ac:dyDescent="0.25">
      <c r="A15" s="8" t="s">
        <v>62</v>
      </c>
      <c r="B15" s="15">
        <v>46253.63541666666</v>
      </c>
      <c r="C15" s="8" t="s">
        <v>63</v>
      </c>
      <c r="D15" s="8" t="s">
        <v>40</v>
      </c>
      <c r="E15" s="9">
        <v>1</v>
      </c>
      <c r="F15" s="8" t="s">
        <v>32</v>
      </c>
      <c r="G15" s="8" t="s">
        <v>64</v>
      </c>
      <c r="H15" s="10">
        <v>3600000000</v>
      </c>
      <c r="I15" s="10">
        <v>684000000</v>
      </c>
      <c r="J15" s="10">
        <v>4284000000</v>
      </c>
    </row>
    <row r="16" spans="1:10" x14ac:dyDescent="0.25">
      <c r="A16" s="8" t="s">
        <v>65</v>
      </c>
      <c r="B16" s="15">
        <v>46253.6875</v>
      </c>
      <c r="C16" s="8" t="s">
        <v>66</v>
      </c>
      <c r="D16" s="8" t="s">
        <v>36</v>
      </c>
      <c r="E16" s="9">
        <v>1</v>
      </c>
      <c r="F16" s="8" t="s">
        <v>48</v>
      </c>
      <c r="G16" s="8" t="s">
        <v>37</v>
      </c>
      <c r="H16" s="10">
        <v>3600000000</v>
      </c>
      <c r="I16" s="10">
        <v>684000000</v>
      </c>
      <c r="J16" s="10">
        <v>4284000000</v>
      </c>
    </row>
    <row r="17" spans="1:10" x14ac:dyDescent="0.25">
      <c r="A17" s="8" t="s">
        <v>67</v>
      </c>
      <c r="B17" s="15">
        <v>46257.72916666666</v>
      </c>
      <c r="C17" s="8" t="s">
        <v>47</v>
      </c>
      <c r="D17" s="8" t="s">
        <v>40</v>
      </c>
      <c r="E17" s="9">
        <v>1</v>
      </c>
      <c r="F17" s="8" t="s">
        <v>32</v>
      </c>
      <c r="G17" s="8" t="s">
        <v>68</v>
      </c>
      <c r="H17" s="10">
        <v>1200000000</v>
      </c>
      <c r="I17" s="10">
        <v>228000000</v>
      </c>
      <c r="J17" s="10">
        <v>1428000000</v>
      </c>
    </row>
    <row r="18" spans="1:10" x14ac:dyDescent="0.25">
      <c r="A18" s="8" t="s">
        <v>69</v>
      </c>
      <c r="B18" s="15">
        <v>46258.58333333334</v>
      </c>
      <c r="C18" s="8" t="s">
        <v>47</v>
      </c>
      <c r="D18" s="8" t="s">
        <v>36</v>
      </c>
      <c r="E18" s="9">
        <v>1</v>
      </c>
      <c r="F18" s="8" t="s">
        <v>32</v>
      </c>
      <c r="G18" s="8" t="s">
        <v>70</v>
      </c>
      <c r="H18" s="10">
        <v>3200000000</v>
      </c>
      <c r="I18" s="10">
        <v>608000000</v>
      </c>
      <c r="J18" s="10">
        <v>3808000000</v>
      </c>
    </row>
    <row r="19" spans="1:10" x14ac:dyDescent="0.25">
      <c r="A19" s="8" t="s">
        <v>71</v>
      </c>
      <c r="B19" s="15">
        <v>46260.54166666666</v>
      </c>
      <c r="C19" s="8" t="s">
        <v>47</v>
      </c>
      <c r="D19" s="8" t="s">
        <v>40</v>
      </c>
      <c r="E19" s="9">
        <v>1</v>
      </c>
      <c r="F19" s="8" t="s">
        <v>32</v>
      </c>
      <c r="G19" s="8" t="s">
        <v>72</v>
      </c>
      <c r="H19" s="10">
        <v>1200000000</v>
      </c>
      <c r="I19" s="10">
        <v>228000000</v>
      </c>
      <c r="J19" s="10">
        <v>1428000000</v>
      </c>
    </row>
    <row r="20" spans="1:10" x14ac:dyDescent="0.25">
      <c r="A20" s="8" t="s">
        <v>73</v>
      </c>
      <c r="B20" s="15">
        <v>46261.40625</v>
      </c>
      <c r="C20" s="8" t="s">
        <v>39</v>
      </c>
      <c r="D20" s="8" t="s">
        <v>31</v>
      </c>
      <c r="E20" s="9">
        <v>2</v>
      </c>
      <c r="F20" s="8" t="s">
        <v>32</v>
      </c>
      <c r="G20" s="8" t="s">
        <v>37</v>
      </c>
      <c r="H20" s="10">
        <v>2000350000</v>
      </c>
      <c r="I20" s="10">
        <v>380066500</v>
      </c>
      <c r="J20" s="10">
        <v>2380416500</v>
      </c>
    </row>
    <row r="21" spans="1:10" x14ac:dyDescent="0.25">
      <c r="A21" s="8" t="s">
        <v>74</v>
      </c>
      <c r="B21" s="15">
        <v>46263.48958333334</v>
      </c>
      <c r="C21" s="8" t="s">
        <v>39</v>
      </c>
      <c r="D21" s="8" t="s">
        <v>36</v>
      </c>
      <c r="E21" s="9">
        <v>1</v>
      </c>
      <c r="F21" s="8" t="s">
        <v>32</v>
      </c>
      <c r="G21" s="8" t="s">
        <v>75</v>
      </c>
      <c r="H21" s="10">
        <v>1200000000</v>
      </c>
      <c r="I21" s="10">
        <v>228000000</v>
      </c>
      <c r="J21" s="10">
        <v>1428000000</v>
      </c>
    </row>
    <row r="22" spans="1:10" x14ac:dyDescent="0.25">
      <c r="A22" s="8" t="s">
        <v>76</v>
      </c>
      <c r="B22" s="15">
        <v>46264.69791666666</v>
      </c>
      <c r="C22" s="8" t="s">
        <v>63</v>
      </c>
      <c r="D22" s="8" t="s">
        <v>36</v>
      </c>
      <c r="E22" s="9">
        <v>1</v>
      </c>
      <c r="F22" s="8" t="s">
        <v>32</v>
      </c>
      <c r="G22" s="8" t="s">
        <v>77</v>
      </c>
      <c r="H22" s="10">
        <v>4800000000</v>
      </c>
      <c r="I22" s="10">
        <v>912000000</v>
      </c>
      <c r="J22" s="10">
        <v>5712000000</v>
      </c>
    </row>
    <row r="23" spans="1:10" x14ac:dyDescent="0.25">
      <c r="A23" s="8" t="s">
        <v>78</v>
      </c>
      <c r="B23" s="15">
        <v>46266.36458333334</v>
      </c>
      <c r="C23" s="8" t="s">
        <v>66</v>
      </c>
      <c r="D23" s="8" t="s">
        <v>36</v>
      </c>
      <c r="E23" s="9">
        <v>1</v>
      </c>
      <c r="F23" s="8" t="s">
        <v>32</v>
      </c>
      <c r="G23" s="8" t="s">
        <v>79</v>
      </c>
      <c r="H23" s="10">
        <v>1200000000</v>
      </c>
      <c r="I23" s="10">
        <v>228000000</v>
      </c>
      <c r="J23" s="10">
        <v>1428000000</v>
      </c>
    </row>
    <row r="24" spans="1:10" x14ac:dyDescent="0.25">
      <c r="A24" s="8" t="s">
        <v>80</v>
      </c>
      <c r="B24" s="15">
        <v>46272.46875</v>
      </c>
      <c r="C24" s="8" t="s">
        <v>39</v>
      </c>
      <c r="D24" s="8" t="s">
        <v>36</v>
      </c>
      <c r="E24" s="9">
        <v>1</v>
      </c>
      <c r="F24" s="8" t="s">
        <v>81</v>
      </c>
      <c r="G24" s="8" t="s">
        <v>37</v>
      </c>
      <c r="H24" s="10">
        <v>1200000000</v>
      </c>
      <c r="I24" s="10">
        <v>228000000</v>
      </c>
      <c r="J24" s="10">
        <v>1428000000</v>
      </c>
    </row>
    <row r="25" spans="1:10" x14ac:dyDescent="0.25">
      <c r="A25" s="8" t="s">
        <v>82</v>
      </c>
      <c r="B25" s="15">
        <v>46273.65625</v>
      </c>
      <c r="C25" s="8" t="s">
        <v>30</v>
      </c>
      <c r="D25" s="8" t="s">
        <v>36</v>
      </c>
      <c r="E25" s="9">
        <v>2</v>
      </c>
      <c r="F25" s="8" t="s">
        <v>81</v>
      </c>
      <c r="G25" s="8" t="s">
        <v>37</v>
      </c>
      <c r="H25" s="10">
        <v>2000350000</v>
      </c>
      <c r="I25" s="10">
        <v>380066500</v>
      </c>
      <c r="J25" s="10">
        <v>2380416500</v>
      </c>
    </row>
    <row r="26" spans="1:10" x14ac:dyDescent="0.25">
      <c r="A26" s="8" t="s">
        <v>83</v>
      </c>
      <c r="B26" s="15">
        <v>46273.69791666666</v>
      </c>
      <c r="C26" s="8" t="s">
        <v>39</v>
      </c>
      <c r="D26" s="8" t="s">
        <v>40</v>
      </c>
      <c r="E26" s="9">
        <v>2</v>
      </c>
      <c r="F26" s="8" t="s">
        <v>32</v>
      </c>
      <c r="G26" s="8" t="s">
        <v>84</v>
      </c>
      <c r="H26" s="10">
        <v>2000350000</v>
      </c>
      <c r="I26" s="10">
        <v>380066500</v>
      </c>
      <c r="J26" s="10">
        <v>2380416500</v>
      </c>
    </row>
    <row r="27" spans="1:10" x14ac:dyDescent="0.25">
      <c r="A27" s="8" t="s">
        <v>85</v>
      </c>
      <c r="B27" s="15">
        <v>46276.625</v>
      </c>
      <c r="C27" s="8" t="s">
        <v>47</v>
      </c>
      <c r="D27" s="8" t="s">
        <v>36</v>
      </c>
      <c r="E27" s="9">
        <v>1</v>
      </c>
      <c r="F27" s="8" t="s">
        <v>81</v>
      </c>
      <c r="G27" s="8" t="s">
        <v>37</v>
      </c>
      <c r="H27" s="10">
        <v>1800000000</v>
      </c>
      <c r="I27" s="10">
        <v>342000000</v>
      </c>
      <c r="J27" s="10">
        <v>2142000000</v>
      </c>
    </row>
    <row r="28" spans="1:10" x14ac:dyDescent="0.25">
      <c r="A28" s="8" t="s">
        <v>86</v>
      </c>
      <c r="B28" s="15">
        <v>46277.41666666666</v>
      </c>
      <c r="C28" s="8" t="s">
        <v>35</v>
      </c>
      <c r="D28" s="8" t="s">
        <v>31</v>
      </c>
      <c r="E28" s="9">
        <v>1</v>
      </c>
      <c r="F28" s="8" t="s">
        <v>81</v>
      </c>
      <c r="G28" s="8" t="s">
        <v>37</v>
      </c>
      <c r="H28" s="10">
        <v>3200000000</v>
      </c>
      <c r="I28" s="10">
        <v>608000000</v>
      </c>
      <c r="J28" s="10">
        <v>3808000000</v>
      </c>
    </row>
    <row r="29" spans="1:10" x14ac:dyDescent="0.25">
      <c r="A29" s="8" t="s">
        <v>87</v>
      </c>
      <c r="B29" s="15">
        <v>46277.45833333334</v>
      </c>
      <c r="C29" s="8" t="s">
        <v>39</v>
      </c>
      <c r="D29" s="8" t="s">
        <v>40</v>
      </c>
      <c r="E29" s="9">
        <v>1</v>
      </c>
      <c r="F29" s="8" t="s">
        <v>32</v>
      </c>
      <c r="G29" s="8" t="s">
        <v>37</v>
      </c>
      <c r="H29" s="10">
        <v>1200000000</v>
      </c>
      <c r="I29" s="10">
        <v>228000000</v>
      </c>
      <c r="J29" s="10">
        <v>1428000000</v>
      </c>
    </row>
    <row r="30" spans="1:10" x14ac:dyDescent="0.25">
      <c r="A30" s="8" t="s">
        <v>88</v>
      </c>
      <c r="B30" s="15">
        <v>46278.40625</v>
      </c>
      <c r="C30" s="8" t="s">
        <v>53</v>
      </c>
      <c r="D30" s="8" t="s">
        <v>36</v>
      </c>
      <c r="E30" s="9">
        <v>1</v>
      </c>
      <c r="F30" s="8" t="s">
        <v>81</v>
      </c>
      <c r="G30" s="8" t="s">
        <v>37</v>
      </c>
      <c r="H30" s="10">
        <v>1200000000</v>
      </c>
      <c r="I30" s="10">
        <v>228000000</v>
      </c>
      <c r="J30" s="10">
        <v>1428000000</v>
      </c>
    </row>
    <row r="31" spans="1:10" x14ac:dyDescent="0.25">
      <c r="A31" s="8" t="s">
        <v>89</v>
      </c>
      <c r="B31" s="15">
        <v>46278.51041666666</v>
      </c>
      <c r="C31" s="8" t="s">
        <v>56</v>
      </c>
      <c r="D31" s="8" t="s">
        <v>36</v>
      </c>
      <c r="E31" s="9">
        <v>1</v>
      </c>
      <c r="F31" s="8" t="s">
        <v>32</v>
      </c>
      <c r="G31" s="8" t="s">
        <v>90</v>
      </c>
      <c r="H31" s="10">
        <v>1200000000</v>
      </c>
      <c r="I31" s="10">
        <v>228000000</v>
      </c>
      <c r="J31" s="10">
        <v>1428000000</v>
      </c>
    </row>
    <row r="32" spans="1:10" x14ac:dyDescent="0.25">
      <c r="A32" s="8" t="s">
        <v>91</v>
      </c>
      <c r="B32" s="15">
        <v>46281.41666666666</v>
      </c>
      <c r="C32" s="8" t="s">
        <v>30</v>
      </c>
      <c r="D32" s="8" t="s">
        <v>40</v>
      </c>
      <c r="E32" s="9">
        <v>1</v>
      </c>
      <c r="F32" s="8" t="s">
        <v>32</v>
      </c>
      <c r="G32" s="8" t="s">
        <v>92</v>
      </c>
      <c r="H32" s="10">
        <v>2000000000</v>
      </c>
      <c r="I32" s="10">
        <v>380000000</v>
      </c>
      <c r="J32" s="10">
        <v>2380000000</v>
      </c>
    </row>
    <row r="33" spans="1:10" x14ac:dyDescent="0.25">
      <c r="A33" s="8" t="s">
        <v>93</v>
      </c>
      <c r="B33" s="15">
        <v>46283.33333333334</v>
      </c>
      <c r="C33" s="8" t="s">
        <v>30</v>
      </c>
      <c r="D33" s="8" t="s">
        <v>31</v>
      </c>
      <c r="E33" s="9">
        <v>1</v>
      </c>
      <c r="F33" s="8" t="s">
        <v>32</v>
      </c>
      <c r="G33" s="8" t="s">
        <v>94</v>
      </c>
      <c r="H33" s="10">
        <v>2000000000</v>
      </c>
      <c r="I33" s="10">
        <v>380000000</v>
      </c>
      <c r="J33" s="10">
        <v>2380000000</v>
      </c>
    </row>
    <row r="34" spans="1:10" x14ac:dyDescent="0.25">
      <c r="A34" s="8" t="s">
        <v>95</v>
      </c>
      <c r="B34" s="15">
        <v>46283.4375</v>
      </c>
      <c r="C34" s="8" t="s">
        <v>63</v>
      </c>
      <c r="D34" s="8" t="s">
        <v>36</v>
      </c>
      <c r="E34" s="9">
        <v>1</v>
      </c>
      <c r="F34" s="8" t="s">
        <v>81</v>
      </c>
      <c r="G34" s="8" t="s">
        <v>37</v>
      </c>
      <c r="H34" s="10">
        <v>1800000000</v>
      </c>
      <c r="I34" s="10">
        <v>342000000</v>
      </c>
      <c r="J34" s="10">
        <v>2142000000</v>
      </c>
    </row>
    <row r="35" spans="1:10" x14ac:dyDescent="0.25">
      <c r="A35" s="8" t="s">
        <v>96</v>
      </c>
      <c r="B35" s="15">
        <v>46283.48958333334</v>
      </c>
      <c r="C35" s="8" t="s">
        <v>35</v>
      </c>
      <c r="D35" s="8" t="s">
        <v>36</v>
      </c>
      <c r="E35" s="9">
        <v>2</v>
      </c>
      <c r="F35" s="8" t="s">
        <v>81</v>
      </c>
      <c r="G35" s="8" t="s">
        <v>37</v>
      </c>
      <c r="H35" s="10">
        <v>2000350000</v>
      </c>
      <c r="I35" s="10">
        <v>380066500</v>
      </c>
      <c r="J35" s="10">
        <v>2380416500</v>
      </c>
    </row>
    <row r="36" spans="1:10" x14ac:dyDescent="0.25">
      <c r="A36" s="8" t="s">
        <v>97</v>
      </c>
      <c r="B36" s="15">
        <v>46283.5625</v>
      </c>
      <c r="C36" s="8" t="s">
        <v>60</v>
      </c>
      <c r="D36" s="8" t="s">
        <v>36</v>
      </c>
      <c r="E36" s="9">
        <v>1</v>
      </c>
      <c r="F36" s="8" t="s">
        <v>32</v>
      </c>
      <c r="G36" s="8" t="s">
        <v>98</v>
      </c>
      <c r="H36" s="10">
        <v>4800000000</v>
      </c>
      <c r="I36" s="10">
        <v>912000000</v>
      </c>
      <c r="J36" s="10">
        <v>5712000000</v>
      </c>
    </row>
    <row r="37" spans="1:10" x14ac:dyDescent="0.25">
      <c r="A37" s="12" t="s">
        <v>28</v>
      </c>
      <c r="B37" s="12" t="s">
        <v>99</v>
      </c>
      <c r="C37" s="12" t="s">
        <v>99</v>
      </c>
      <c r="D37" s="12" t="s">
        <v>99</v>
      </c>
      <c r="E37" s="13">
        <f>SUBTOTAL(109,E2:E36)</f>
        <v>0</v>
      </c>
      <c r="F37" s="12" t="s">
        <v>99</v>
      </c>
      <c r="G37" s="12" t="s">
        <v>99</v>
      </c>
      <c r="H37" s="14">
        <f>SUBTOTAL(109,H2:H36)</f>
        <v>0</v>
      </c>
      <c r="I37" s="14">
        <f>SUBTOTAL(109,I2:I36)</f>
        <v>0</v>
      </c>
      <c r="J37" s="14">
        <f>SUBTOTAL(109,J2:J36)</f>
        <v>0</v>
      </c>
    </row>
  </sheetData>
  <autoFilter ref="A1:J36"/>
  <conditionalFormatting sqref="F2:F36">
    <cfRule type="cellIs" dxfId="0" priority="1" operator="equal">
      <formula>"pagada"</formula>
    </cfRule>
    <cfRule type="cellIs" dxfId="1" priority="2" operator="equal">
      <formula>"pendiente"</formula>
    </cfRule>
    <cfRule type="cellIs" dxfId="2" priority="3" operator="equal">
      <formula>"anulada"</formula>
    </cfRule>
  </conditionalFormatting>
  <conditionalFormatting sqref="J2:J36">
    <cfRule type="dataBar" priority="4">
      <dataBar>
        <cfvo type="min"/>
        <cfvo type="max"/>
        <color rgb="FF3D627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3D6274"/>
              <x14:negativeFillColor rgb="FFFF0000"/>
              <x14:negativeBorderColor rgb="FFFF0000"/>
              <x14:axisColor rgb="FF000000"/>
            </x14:dataBar>
          </x14:cfRule>
          <xm:sqref>J2:J36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46.7109375" customWidth="1"/>
    <col min="3" max="7" width="16.7109375" customWidth="1"/>
  </cols>
  <sheetData>
    <row r="1" spans="1:7">
      <c r="A1" s="7" t="s">
        <v>100</v>
      </c>
      <c r="B1" s="7" t="s">
        <v>101</v>
      </c>
      <c r="C1" s="7" t="s">
        <v>102</v>
      </c>
      <c r="D1" s="7" t="s">
        <v>103</v>
      </c>
      <c r="E1" s="7" t="s">
        <v>104</v>
      </c>
      <c r="F1" s="7" t="s">
        <v>105</v>
      </c>
      <c r="G1" s="7" t="s">
        <v>26</v>
      </c>
    </row>
    <row r="2" spans="1:7">
      <c r="A2" s="8" t="s">
        <v>29</v>
      </c>
      <c r="B2" s="8" t="s">
        <v>106</v>
      </c>
      <c r="C2" s="8" t="s">
        <v>107</v>
      </c>
      <c r="D2" s="9">
        <v>1</v>
      </c>
      <c r="E2" s="10">
        <v>2000000000</v>
      </c>
      <c r="F2" s="10">
        <v>0</v>
      </c>
      <c r="G2" s="10">
        <v>2000000000</v>
      </c>
    </row>
    <row r="3" spans="1:7">
      <c r="A3" s="8" t="s">
        <v>34</v>
      </c>
      <c r="B3" s="8" t="s">
        <v>108</v>
      </c>
      <c r="C3" s="8" t="s">
        <v>107</v>
      </c>
      <c r="D3" s="9">
        <v>1</v>
      </c>
      <c r="E3" s="10">
        <v>3600000000</v>
      </c>
      <c r="F3" s="10">
        <v>0</v>
      </c>
      <c r="G3" s="10">
        <v>3600000000</v>
      </c>
    </row>
    <row r="4" spans="1:7">
      <c r="A4" s="8" t="s">
        <v>34</v>
      </c>
      <c r="B4" s="8" t="s">
        <v>109</v>
      </c>
      <c r="C4" s="8" t="s">
        <v>110</v>
      </c>
      <c r="D4" s="9">
        <v>1</v>
      </c>
      <c r="E4" s="10">
        <v>350000</v>
      </c>
      <c r="F4" s="10">
        <v>0</v>
      </c>
      <c r="G4" s="10">
        <v>350000</v>
      </c>
    </row>
    <row r="5" spans="1:7">
      <c r="A5" s="8" t="s">
        <v>38</v>
      </c>
      <c r="B5" s="8" t="s">
        <v>111</v>
      </c>
      <c r="C5" s="8" t="s">
        <v>107</v>
      </c>
      <c r="D5" s="9">
        <v>1</v>
      </c>
      <c r="E5" s="10">
        <v>1200000000</v>
      </c>
      <c r="F5" s="10">
        <v>0</v>
      </c>
      <c r="G5" s="10">
        <v>1200000000</v>
      </c>
    </row>
    <row r="6" spans="1:7">
      <c r="A6" s="8" t="s">
        <v>42</v>
      </c>
      <c r="B6" s="8" t="s">
        <v>111</v>
      </c>
      <c r="C6" s="8" t="s">
        <v>107</v>
      </c>
      <c r="D6" s="9">
        <v>1</v>
      </c>
      <c r="E6" s="10">
        <v>1200000000</v>
      </c>
      <c r="F6" s="10">
        <v>0</v>
      </c>
      <c r="G6" s="10">
        <v>1200000000</v>
      </c>
    </row>
    <row r="7" spans="1:7">
      <c r="A7" s="8" t="s">
        <v>44</v>
      </c>
      <c r="B7" s="8" t="s">
        <v>112</v>
      </c>
      <c r="C7" s="8" t="s">
        <v>107</v>
      </c>
      <c r="D7" s="9">
        <v>1</v>
      </c>
      <c r="E7" s="10">
        <v>4800000000</v>
      </c>
      <c r="F7" s="10">
        <v>0</v>
      </c>
      <c r="G7" s="10">
        <v>4800000000</v>
      </c>
    </row>
    <row r="8" spans="1:7">
      <c r="A8" s="8" t="s">
        <v>46</v>
      </c>
      <c r="B8" s="8" t="s">
        <v>113</v>
      </c>
      <c r="C8" s="8" t="s">
        <v>107</v>
      </c>
      <c r="D8" s="9">
        <v>1</v>
      </c>
      <c r="E8" s="10">
        <v>1800000000</v>
      </c>
      <c r="F8" s="10">
        <v>0</v>
      </c>
      <c r="G8" s="10">
        <v>1800000000</v>
      </c>
    </row>
    <row r="9" spans="1:7">
      <c r="A9" s="8" t="s">
        <v>46</v>
      </c>
      <c r="B9" s="8" t="s">
        <v>109</v>
      </c>
      <c r="C9" s="8" t="s">
        <v>110</v>
      </c>
      <c r="D9" s="9">
        <v>1</v>
      </c>
      <c r="E9" s="10">
        <v>350000</v>
      </c>
      <c r="F9" s="10">
        <v>0</v>
      </c>
      <c r="G9" s="10">
        <v>350000</v>
      </c>
    </row>
    <row r="10" spans="1:7">
      <c r="A10" s="8" t="s">
        <v>49</v>
      </c>
      <c r="B10" s="8" t="s">
        <v>106</v>
      </c>
      <c r="C10" s="8" t="s">
        <v>107</v>
      </c>
      <c r="D10" s="9">
        <v>1</v>
      </c>
      <c r="E10" s="10">
        <v>2000000000</v>
      </c>
      <c r="F10" s="10">
        <v>0</v>
      </c>
      <c r="G10" s="10">
        <v>2000000000</v>
      </c>
    </row>
    <row r="11" spans="1:7">
      <c r="A11" s="8" t="s">
        <v>51</v>
      </c>
      <c r="B11" s="8" t="s">
        <v>114</v>
      </c>
      <c r="C11" s="8" t="s">
        <v>107</v>
      </c>
      <c r="D11" s="9">
        <v>1</v>
      </c>
      <c r="E11" s="10">
        <v>3200000000</v>
      </c>
      <c r="F11" s="10">
        <v>0</v>
      </c>
      <c r="G11" s="10">
        <v>3200000000</v>
      </c>
    </row>
    <row r="12" spans="1:7">
      <c r="A12" s="8" t="s">
        <v>52</v>
      </c>
      <c r="B12" s="8" t="s">
        <v>106</v>
      </c>
      <c r="C12" s="8" t="s">
        <v>107</v>
      </c>
      <c r="D12" s="9">
        <v>1</v>
      </c>
      <c r="E12" s="10">
        <v>2000000000</v>
      </c>
      <c r="F12" s="10">
        <v>0</v>
      </c>
      <c r="G12" s="10">
        <v>2000000000</v>
      </c>
    </row>
    <row r="13" spans="1:7">
      <c r="A13" s="8" t="s">
        <v>54</v>
      </c>
      <c r="B13" s="8" t="s">
        <v>111</v>
      </c>
      <c r="C13" s="8" t="s">
        <v>107</v>
      </c>
      <c r="D13" s="9">
        <v>1</v>
      </c>
      <c r="E13" s="10">
        <v>1200000000</v>
      </c>
      <c r="F13" s="10">
        <v>0</v>
      </c>
      <c r="G13" s="10">
        <v>1200000000</v>
      </c>
    </row>
    <row r="14" spans="1:7">
      <c r="A14" s="8" t="s">
        <v>55</v>
      </c>
      <c r="B14" s="8" t="s">
        <v>114</v>
      </c>
      <c r="C14" s="8" t="s">
        <v>107</v>
      </c>
      <c r="D14" s="9">
        <v>1</v>
      </c>
      <c r="E14" s="10">
        <v>3200000000</v>
      </c>
      <c r="F14" s="10">
        <v>0</v>
      </c>
      <c r="G14" s="10">
        <v>3200000000</v>
      </c>
    </row>
    <row r="15" spans="1:7">
      <c r="A15" s="8" t="s">
        <v>58</v>
      </c>
      <c r="B15" s="8" t="s">
        <v>108</v>
      </c>
      <c r="C15" s="8" t="s">
        <v>107</v>
      </c>
      <c r="D15" s="9">
        <v>1</v>
      </c>
      <c r="E15" s="10">
        <v>3600000000</v>
      </c>
      <c r="F15" s="10">
        <v>0</v>
      </c>
      <c r="G15" s="10">
        <v>3600000000</v>
      </c>
    </row>
    <row r="16" spans="1:7">
      <c r="A16" s="8" t="s">
        <v>59</v>
      </c>
      <c r="B16" s="8" t="s">
        <v>113</v>
      </c>
      <c r="C16" s="8" t="s">
        <v>107</v>
      </c>
      <c r="D16" s="9">
        <v>1</v>
      </c>
      <c r="E16" s="10">
        <v>1800000000</v>
      </c>
      <c r="F16" s="10">
        <v>0</v>
      </c>
      <c r="G16" s="10">
        <v>1800000000</v>
      </c>
    </row>
    <row r="17" spans="1:7">
      <c r="A17" s="8" t="s">
        <v>62</v>
      </c>
      <c r="B17" s="8" t="s">
        <v>108</v>
      </c>
      <c r="C17" s="8" t="s">
        <v>107</v>
      </c>
      <c r="D17" s="9">
        <v>1</v>
      </c>
      <c r="E17" s="10">
        <v>3600000000</v>
      </c>
      <c r="F17" s="10">
        <v>0</v>
      </c>
      <c r="G17" s="10">
        <v>3600000000</v>
      </c>
    </row>
    <row r="18" spans="1:7">
      <c r="A18" s="8" t="s">
        <v>65</v>
      </c>
      <c r="B18" s="8" t="s">
        <v>108</v>
      </c>
      <c r="C18" s="8" t="s">
        <v>107</v>
      </c>
      <c r="D18" s="9">
        <v>1</v>
      </c>
      <c r="E18" s="10">
        <v>3600000000</v>
      </c>
      <c r="F18" s="10">
        <v>0</v>
      </c>
      <c r="G18" s="10">
        <v>3600000000</v>
      </c>
    </row>
    <row r="19" spans="1:7">
      <c r="A19" s="8" t="s">
        <v>67</v>
      </c>
      <c r="B19" s="8" t="s">
        <v>111</v>
      </c>
      <c r="C19" s="8" t="s">
        <v>107</v>
      </c>
      <c r="D19" s="9">
        <v>1</v>
      </c>
      <c r="E19" s="10">
        <v>1200000000</v>
      </c>
      <c r="F19" s="10">
        <v>0</v>
      </c>
      <c r="G19" s="10">
        <v>1200000000</v>
      </c>
    </row>
    <row r="20" spans="1:7">
      <c r="A20" s="8" t="s">
        <v>69</v>
      </c>
      <c r="B20" s="8" t="s">
        <v>114</v>
      </c>
      <c r="C20" s="8" t="s">
        <v>107</v>
      </c>
      <c r="D20" s="9">
        <v>1</v>
      </c>
      <c r="E20" s="10">
        <v>3200000000</v>
      </c>
      <c r="F20" s="10">
        <v>0</v>
      </c>
      <c r="G20" s="10">
        <v>3200000000</v>
      </c>
    </row>
    <row r="21" spans="1:7">
      <c r="A21" s="8" t="s">
        <v>71</v>
      </c>
      <c r="B21" s="8" t="s">
        <v>111</v>
      </c>
      <c r="C21" s="8" t="s">
        <v>107</v>
      </c>
      <c r="D21" s="9">
        <v>1</v>
      </c>
      <c r="E21" s="10">
        <v>1200000000</v>
      </c>
      <c r="F21" s="10">
        <v>0</v>
      </c>
      <c r="G21" s="10">
        <v>1200000000</v>
      </c>
    </row>
    <row r="22" spans="1:7">
      <c r="A22" s="8" t="s">
        <v>73</v>
      </c>
      <c r="B22" s="8" t="s">
        <v>106</v>
      </c>
      <c r="C22" s="8" t="s">
        <v>107</v>
      </c>
      <c r="D22" s="9">
        <v>1</v>
      </c>
      <c r="E22" s="10">
        <v>2000000000</v>
      </c>
      <c r="F22" s="10">
        <v>0</v>
      </c>
      <c r="G22" s="10">
        <v>2000000000</v>
      </c>
    </row>
    <row r="23" spans="1:7">
      <c r="A23" s="8" t="s">
        <v>73</v>
      </c>
      <c r="B23" s="8" t="s">
        <v>109</v>
      </c>
      <c r="C23" s="8" t="s">
        <v>110</v>
      </c>
      <c r="D23" s="9">
        <v>1</v>
      </c>
      <c r="E23" s="10">
        <v>350000</v>
      </c>
      <c r="F23" s="10">
        <v>0</v>
      </c>
      <c r="G23" s="10">
        <v>350000</v>
      </c>
    </row>
    <row r="24" spans="1:7">
      <c r="A24" s="8" t="s">
        <v>74</v>
      </c>
      <c r="B24" s="8" t="s">
        <v>111</v>
      </c>
      <c r="C24" s="8" t="s">
        <v>107</v>
      </c>
      <c r="D24" s="9">
        <v>1</v>
      </c>
      <c r="E24" s="10">
        <v>1200000000</v>
      </c>
      <c r="F24" s="10">
        <v>0</v>
      </c>
      <c r="G24" s="10">
        <v>1200000000</v>
      </c>
    </row>
    <row r="25" spans="1:7">
      <c r="A25" s="8" t="s">
        <v>76</v>
      </c>
      <c r="B25" s="8" t="s">
        <v>112</v>
      </c>
      <c r="C25" s="8" t="s">
        <v>107</v>
      </c>
      <c r="D25" s="9">
        <v>1</v>
      </c>
      <c r="E25" s="10">
        <v>4800000000</v>
      </c>
      <c r="F25" s="10">
        <v>0</v>
      </c>
      <c r="G25" s="10">
        <v>4800000000</v>
      </c>
    </row>
    <row r="26" spans="1:7">
      <c r="A26" s="8" t="s">
        <v>78</v>
      </c>
      <c r="B26" s="8" t="s">
        <v>111</v>
      </c>
      <c r="C26" s="8" t="s">
        <v>107</v>
      </c>
      <c r="D26" s="9">
        <v>1</v>
      </c>
      <c r="E26" s="10">
        <v>1200000000</v>
      </c>
      <c r="F26" s="10">
        <v>0</v>
      </c>
      <c r="G26" s="10">
        <v>1200000000</v>
      </c>
    </row>
    <row r="27" spans="1:7">
      <c r="A27" s="8" t="s">
        <v>80</v>
      </c>
      <c r="B27" s="8" t="s">
        <v>111</v>
      </c>
      <c r="C27" s="8" t="s">
        <v>107</v>
      </c>
      <c r="D27" s="9">
        <v>1</v>
      </c>
      <c r="E27" s="10">
        <v>1200000000</v>
      </c>
      <c r="F27" s="10">
        <v>0</v>
      </c>
      <c r="G27" s="10">
        <v>1200000000</v>
      </c>
    </row>
    <row r="28" spans="1:7">
      <c r="A28" s="8" t="s">
        <v>82</v>
      </c>
      <c r="B28" s="8" t="s">
        <v>106</v>
      </c>
      <c r="C28" s="8" t="s">
        <v>107</v>
      </c>
      <c r="D28" s="9">
        <v>1</v>
      </c>
      <c r="E28" s="10">
        <v>2000000000</v>
      </c>
      <c r="F28" s="10">
        <v>0</v>
      </c>
      <c r="G28" s="10">
        <v>2000000000</v>
      </c>
    </row>
    <row r="29" spans="1:7">
      <c r="A29" s="8" t="s">
        <v>82</v>
      </c>
      <c r="B29" s="8" t="s">
        <v>109</v>
      </c>
      <c r="C29" s="8" t="s">
        <v>110</v>
      </c>
      <c r="D29" s="9">
        <v>1</v>
      </c>
      <c r="E29" s="10">
        <v>350000</v>
      </c>
      <c r="F29" s="10">
        <v>0</v>
      </c>
      <c r="G29" s="10">
        <v>350000</v>
      </c>
    </row>
    <row r="30" spans="1:7">
      <c r="A30" s="8" t="s">
        <v>83</v>
      </c>
      <c r="B30" s="8" t="s">
        <v>106</v>
      </c>
      <c r="C30" s="8" t="s">
        <v>107</v>
      </c>
      <c r="D30" s="9">
        <v>1</v>
      </c>
      <c r="E30" s="10">
        <v>2000000000</v>
      </c>
      <c r="F30" s="10">
        <v>0</v>
      </c>
      <c r="G30" s="10">
        <v>2000000000</v>
      </c>
    </row>
    <row r="31" spans="1:7">
      <c r="A31" s="8" t="s">
        <v>83</v>
      </c>
      <c r="B31" s="8" t="s">
        <v>109</v>
      </c>
      <c r="C31" s="8" t="s">
        <v>110</v>
      </c>
      <c r="D31" s="9">
        <v>1</v>
      </c>
      <c r="E31" s="10">
        <v>350000</v>
      </c>
      <c r="F31" s="10">
        <v>0</v>
      </c>
      <c r="G31" s="10">
        <v>350000</v>
      </c>
    </row>
    <row r="32" spans="1:7">
      <c r="A32" s="8" t="s">
        <v>85</v>
      </c>
      <c r="B32" s="8" t="s">
        <v>113</v>
      </c>
      <c r="C32" s="8" t="s">
        <v>107</v>
      </c>
      <c r="D32" s="9">
        <v>1</v>
      </c>
      <c r="E32" s="10">
        <v>1800000000</v>
      </c>
      <c r="F32" s="10">
        <v>0</v>
      </c>
      <c r="G32" s="10">
        <v>1800000000</v>
      </c>
    </row>
    <row r="33" spans="1:7">
      <c r="A33" s="8" t="s">
        <v>86</v>
      </c>
      <c r="B33" s="8" t="s">
        <v>114</v>
      </c>
      <c r="C33" s="8" t="s">
        <v>107</v>
      </c>
      <c r="D33" s="9">
        <v>1</v>
      </c>
      <c r="E33" s="10">
        <v>3200000000</v>
      </c>
      <c r="F33" s="10">
        <v>0</v>
      </c>
      <c r="G33" s="10">
        <v>3200000000</v>
      </c>
    </row>
    <row r="34" spans="1:7">
      <c r="A34" s="8" t="s">
        <v>87</v>
      </c>
      <c r="B34" s="8" t="s">
        <v>111</v>
      </c>
      <c r="C34" s="8" t="s">
        <v>107</v>
      </c>
      <c r="D34" s="9">
        <v>1</v>
      </c>
      <c r="E34" s="10">
        <v>1200000000</v>
      </c>
      <c r="F34" s="10">
        <v>0</v>
      </c>
      <c r="G34" s="10">
        <v>1200000000</v>
      </c>
    </row>
    <row r="35" spans="1:7">
      <c r="A35" s="8" t="s">
        <v>88</v>
      </c>
      <c r="B35" s="8" t="s">
        <v>111</v>
      </c>
      <c r="C35" s="8" t="s">
        <v>107</v>
      </c>
      <c r="D35" s="9">
        <v>1</v>
      </c>
      <c r="E35" s="10">
        <v>1200000000</v>
      </c>
      <c r="F35" s="10">
        <v>0</v>
      </c>
      <c r="G35" s="10">
        <v>1200000000</v>
      </c>
    </row>
    <row r="36" spans="1:7">
      <c r="A36" s="8" t="s">
        <v>89</v>
      </c>
      <c r="B36" s="8" t="s">
        <v>111</v>
      </c>
      <c r="C36" s="8" t="s">
        <v>107</v>
      </c>
      <c r="D36" s="9">
        <v>1</v>
      </c>
      <c r="E36" s="10">
        <v>1200000000</v>
      </c>
      <c r="F36" s="10">
        <v>0</v>
      </c>
      <c r="G36" s="10">
        <v>1200000000</v>
      </c>
    </row>
    <row r="37" spans="1:7">
      <c r="A37" s="8" t="s">
        <v>91</v>
      </c>
      <c r="B37" s="8" t="s">
        <v>106</v>
      </c>
      <c r="C37" s="8" t="s">
        <v>107</v>
      </c>
      <c r="D37" s="9">
        <v>1</v>
      </c>
      <c r="E37" s="10">
        <v>2000000000</v>
      </c>
      <c r="F37" s="10">
        <v>0</v>
      </c>
      <c r="G37" s="10">
        <v>2000000000</v>
      </c>
    </row>
    <row r="38" spans="1:7">
      <c r="A38" s="8" t="s">
        <v>93</v>
      </c>
      <c r="B38" s="8" t="s">
        <v>106</v>
      </c>
      <c r="C38" s="8" t="s">
        <v>107</v>
      </c>
      <c r="D38" s="9">
        <v>1</v>
      </c>
      <c r="E38" s="10">
        <v>2000000000</v>
      </c>
      <c r="F38" s="10">
        <v>0</v>
      </c>
      <c r="G38" s="10">
        <v>2000000000</v>
      </c>
    </row>
    <row r="39" spans="1:7">
      <c r="A39" s="8" t="s">
        <v>95</v>
      </c>
      <c r="B39" s="8" t="s">
        <v>113</v>
      </c>
      <c r="C39" s="8" t="s">
        <v>107</v>
      </c>
      <c r="D39" s="9">
        <v>1</v>
      </c>
      <c r="E39" s="10">
        <v>1800000000</v>
      </c>
      <c r="F39" s="10">
        <v>0</v>
      </c>
      <c r="G39" s="10">
        <v>1800000000</v>
      </c>
    </row>
    <row r="40" spans="1:7">
      <c r="A40" s="8" t="s">
        <v>96</v>
      </c>
      <c r="B40" s="8" t="s">
        <v>106</v>
      </c>
      <c r="C40" s="8" t="s">
        <v>107</v>
      </c>
      <c r="D40" s="9">
        <v>1</v>
      </c>
      <c r="E40" s="10">
        <v>2000000000</v>
      </c>
      <c r="F40" s="10">
        <v>0</v>
      </c>
      <c r="G40" s="10">
        <v>2000000000</v>
      </c>
    </row>
    <row r="41" spans="1:7">
      <c r="A41" s="8" t="s">
        <v>96</v>
      </c>
      <c r="B41" s="8" t="s">
        <v>109</v>
      </c>
      <c r="C41" s="8" t="s">
        <v>110</v>
      </c>
      <c r="D41" s="9">
        <v>1</v>
      </c>
      <c r="E41" s="10">
        <v>350000</v>
      </c>
      <c r="F41" s="10">
        <v>0</v>
      </c>
      <c r="G41" s="10">
        <v>350000</v>
      </c>
    </row>
    <row r="42" spans="1:7">
      <c r="A42" s="8" t="s">
        <v>97</v>
      </c>
      <c r="B42" s="8" t="s">
        <v>112</v>
      </c>
      <c r="C42" s="8" t="s">
        <v>107</v>
      </c>
      <c r="D42" s="9">
        <v>1</v>
      </c>
      <c r="E42" s="10">
        <v>4800000000</v>
      </c>
      <c r="F42" s="10">
        <v>0</v>
      </c>
      <c r="G42" s="10">
        <v>4800000000</v>
      </c>
    </row>
    <row r="43" spans="1:7">
      <c r="A43" s="12" t="s">
        <v>28</v>
      </c>
      <c r="B43" s="12" t="s">
        <v>99</v>
      </c>
      <c r="C43" s="12" t="s">
        <v>99</v>
      </c>
      <c r="D43" s="13">
        <f>SUBTOTAL(109,D2:D42)</f>
        <v>0</v>
      </c>
      <c r="E43" s="14">
        <f>SUBTOTAL(109,E2:E42)</f>
        <v>0</v>
      </c>
      <c r="F43" s="14">
        <f>SUBTOTAL(109,F2:F42)</f>
        <v>0</v>
      </c>
      <c r="G43" s="14">
        <f>SUBTOTAL(109,G2:G42)</f>
        <v>0</v>
      </c>
    </row>
  </sheetData>
  <autoFilter ref="A1:G4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workbookViewId="0"/>
  </sheetViews>
  <sheetFormatPr defaultRowHeight="15" x14ac:dyDescent="0.25"/>
  <cols>
    <col min="1" max="1" width="42.7109375" customWidth="1"/>
    <col min="2" max="4" width="18.7109375" customWidth="1"/>
  </cols>
  <sheetData>
    <row r="1" spans="1:4" x14ac:dyDescent="0.25">
      <c r="A1" s="6" t="s">
        <v>115</v>
      </c>
    </row>
    <row r="2" spans="1:4" x14ac:dyDescent="0.25">
      <c r="A2" s="7" t="s">
        <v>11</v>
      </c>
      <c r="B2" s="7" t="s">
        <v>116</v>
      </c>
      <c r="C2" s="7" t="s">
        <v>117</v>
      </c>
      <c r="D2" s="7" t="s">
        <v>118</v>
      </c>
    </row>
    <row r="3" spans="1:4" x14ac:dyDescent="0.25">
      <c r="A3" s="8" t="s">
        <v>106</v>
      </c>
      <c r="B3" s="9">
        <v>9</v>
      </c>
      <c r="C3" s="10">
        <v>18000000000</v>
      </c>
      <c r="D3" s="16">
        <v>0.2777777777777778</v>
      </c>
    </row>
    <row r="4" spans="1:4" x14ac:dyDescent="0.25">
      <c r="A4" s="8" t="s">
        <v>112</v>
      </c>
      <c r="B4" s="9">
        <v>3</v>
      </c>
      <c r="C4" s="10">
        <v>14400000000</v>
      </c>
      <c r="D4" s="16">
        <v>0.2222222222222222</v>
      </c>
    </row>
    <row r="5" spans="1:4" x14ac:dyDescent="0.25">
      <c r="A5" s="8" t="s">
        <v>111</v>
      </c>
      <c r="B5" s="9">
        <v>10</v>
      </c>
      <c r="C5" s="10">
        <v>12000000000</v>
      </c>
      <c r="D5" s="16">
        <v>0.1851851851851852</v>
      </c>
    </row>
    <row r="6" spans="1:4" x14ac:dyDescent="0.25">
      <c r="A6" s="8" t="s">
        <v>108</v>
      </c>
      <c r="B6" s="9">
        <v>3</v>
      </c>
      <c r="C6" s="10">
        <v>10800000000</v>
      </c>
      <c r="D6" s="16">
        <v>0.1666666666666667</v>
      </c>
    </row>
    <row r="7" spans="1:4" x14ac:dyDescent="0.25">
      <c r="A7" s="8" t="s">
        <v>114</v>
      </c>
      <c r="B7" s="9">
        <v>3</v>
      </c>
      <c r="C7" s="10">
        <v>9600000000</v>
      </c>
      <c r="D7" s="16">
        <v>0.1481481481481481</v>
      </c>
    </row>
    <row r="10" spans="1:4" x14ac:dyDescent="0.25">
      <c r="A10" s="6" t="s">
        <v>119</v>
      </c>
    </row>
    <row r="11" spans="1:4" x14ac:dyDescent="0.25">
      <c r="A11" s="7" t="s">
        <v>11</v>
      </c>
      <c r="B11" s="7" t="s">
        <v>116</v>
      </c>
      <c r="C11" s="7" t="s">
        <v>117</v>
      </c>
      <c r="D11" s="7" t="s">
        <v>118</v>
      </c>
    </row>
    <row r="12" spans="1:4" x14ac:dyDescent="0.25">
      <c r="A12" s="8" t="s">
        <v>109</v>
      </c>
      <c r="B12" s="9">
        <v>5</v>
      </c>
      <c r="C12" s="10">
        <v>1750000</v>
      </c>
      <c r="D12" s="16">
        <v>1</v>
      </c>
    </row>
    <row r="15" spans="1:4" x14ac:dyDescent="0.25">
      <c r="A15" s="17" t="s">
        <v>120</v>
      </c>
    </row>
  </sheetData>
  <conditionalFormatting sqref="C12">
    <cfRule type="dataBar" priority="2">
      <dataBar>
        <cfvo type="min"/>
        <cfvo type="max"/>
        <color rgb="FF3D6274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C3:C7">
    <cfRule type="dataBar" priority="1">
      <dataBar>
        <cfvo type="min"/>
        <cfvo type="max"/>
        <color rgb="FF3D6274"/>
      </dataBar>
      <extLst>
        <ext xmlns:x14="http://schemas.microsoft.com/office/spreadsheetml/2009/9/main" uri="{B025F937-C7B1-47D3-B67F-A62EFF666E3E}">
          <x14:id>{DA7ABA51-AAAA-BBBB-0004-000000000002}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3D6274"/>
              <x14:negativeFillColor rgb="FFFF0000"/>
              <x14:negativeBorderColor rgb="FFFF0000"/>
              <x14:axisColor rgb="FF000000"/>
            </x14:dataBar>
          </x14:cfRule>
          <xm:sqref>C12</xm:sqref>
        </x14:conditionalFormatting>
        <x14:conditionalFormatting xmlns:xm="http://schemas.microsoft.com/office/excel/2006/main">
          <x14:cfRule type="dataBar" id="{DA7ABA51-AAAA-BBBB-0004-000000000002}">
            <x14:dataBar minLength="0" maxLength="100" border="1" gradient="0" negativeBarBorderColorSameAsPositive="0">
              <x14:cfvo type="autoMin"/>
              <x14:cfvo type="autoMax"/>
              <x14:borderColor rgb="FF3D6274"/>
              <x14:negativeFillColor rgb="FFFF0000"/>
              <x14:negativeBorderColor rgb="FFFF0000"/>
              <x14:axisColor rgb="FF000000"/>
            </x14:dataBar>
          </x14:cfRule>
          <xm:sqref>C3:C7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Detalle</vt:lpstr>
      <vt:lpstr>Líneas</vt:lpstr>
      <vt:lpstr>Ranking</vt:lpstr>
    </vt:vector>
  </TitlesOfParts>
  <Company>AutoPrime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AutoPrime · Reporte de ventas</dc:title>
  <dc:creator/>
  <dc:description>Generado automáticamente por la API de AutoPrime.</dc:description>
  <cp:lastModifiedBy/>
  <dcterms:created xsi:type="dcterms:W3CDTF">2026-09-19T18:01:20Z</dcterms:created>
  <dcterms:modified xsi:type="dcterms:W3CDTF">2026-09-19T18:01:20Z</dcterms:modified>
</cp:coreProperties>
</file>